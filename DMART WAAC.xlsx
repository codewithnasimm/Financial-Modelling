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chrome Downloads\nasim project\"/>
    </mc:Choice>
  </mc:AlternateContent>
  <bookViews>
    <workbookView xWindow="0" yWindow="0" windowWidth="20490" windowHeight="8910"/>
  </bookViews>
  <sheets>
    <sheet name="WAAC" sheetId="1" r:id="rId1"/>
    <sheet name="Sheet1" sheetId="5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J41" i="1"/>
  <c r="J40" i="1"/>
  <c r="J38" i="1"/>
  <c r="J37" i="1"/>
  <c r="J25" i="1"/>
  <c r="J24" i="1"/>
  <c r="J33" i="1"/>
  <c r="J32" i="1"/>
  <c r="J31" i="1"/>
  <c r="E35" i="1"/>
  <c r="E32" i="1"/>
  <c r="E31" i="1"/>
  <c r="D32" i="1"/>
  <c r="D31" i="1"/>
  <c r="C33" i="1"/>
  <c r="C32" i="1"/>
  <c r="C31" i="1"/>
  <c r="J30" i="1"/>
  <c r="E23" i="1"/>
  <c r="E24" i="1"/>
  <c r="E22" i="1"/>
  <c r="J17" i="1" l="1"/>
  <c r="J16" i="1"/>
  <c r="J14" i="1"/>
  <c r="J13" i="1"/>
  <c r="J12" i="1"/>
  <c r="J11" i="1"/>
  <c r="J10" i="1"/>
  <c r="I17" i="1"/>
  <c r="I16" i="1"/>
  <c r="H17" i="1"/>
  <c r="H16" i="1"/>
  <c r="G17" i="1"/>
  <c r="G16" i="1"/>
  <c r="F17" i="1"/>
  <c r="F16" i="1"/>
  <c r="H14" i="1"/>
  <c r="H13" i="1"/>
  <c r="H12" i="1"/>
  <c r="H11" i="1"/>
  <c r="H10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<sst xmlns="http://schemas.openxmlformats.org/spreadsheetml/2006/main" count="59" uniqueCount="48">
  <si>
    <t>Weighted Average Cost of Capital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</si>
  <si>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</si>
  <si>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</si>
  <si>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</si>
  <si>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</si>
  <si>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</si>
  <si>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</si>
  <si>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</si>
  <si>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</si>
  <si>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t>Equity</t>
  </si>
  <si>
    <t>Capital</t>
  </si>
  <si>
    <t>Avenue Super.</t>
  </si>
  <si>
    <t>India</t>
  </si>
  <si>
    <t>Average</t>
  </si>
  <si>
    <t>Median</t>
  </si>
  <si>
    <t>Electronics Mart</t>
  </si>
  <si>
    <t>Shoppers Stop</t>
  </si>
  <si>
    <t>V-Mart Retail</t>
  </si>
  <si>
    <t>Spencer's Retail</t>
  </si>
  <si>
    <t>Cost of Debt</t>
  </si>
  <si>
    <t>Cost of Equity</t>
  </si>
  <si>
    <t>Pre-tax Cost of Debt</t>
  </si>
  <si>
    <t>Risk Free Rate</t>
  </si>
  <si>
    <t>Tax Rate</t>
  </si>
  <si>
    <t>After Tax Cost of Debt</t>
  </si>
  <si>
    <t>Levered Beta 4</t>
  </si>
  <si>
    <t>Capital Structure</t>
  </si>
  <si>
    <t xml:space="preserve">Levered Beta </t>
  </si>
  <si>
    <t>Current</t>
  </si>
  <si>
    <t>Target</t>
  </si>
  <si>
    <t>Comps Median Unlevered Beta</t>
  </si>
  <si>
    <t xml:space="preserve">Target Debt/ Equity  </t>
  </si>
  <si>
    <t>Market Capitalization</t>
  </si>
  <si>
    <t>Total Capitalization</t>
  </si>
  <si>
    <t>Levered Beta</t>
  </si>
  <si>
    <t>Debt / Equity</t>
  </si>
  <si>
    <t>1. Tax Rate considered as Marginal Tax Rate for the country</t>
  </si>
  <si>
    <t>2. Levered Beta is based on 5 year monthly data</t>
  </si>
  <si>
    <t>Equity Weight</t>
  </si>
  <si>
    <t>3. Unlevered Beta = Levered Beta/(1+(1-Tax Rate) x Debt/Equity)</t>
  </si>
  <si>
    <t>Debt Weight</t>
  </si>
  <si>
    <t>WACC</t>
  </si>
  <si>
    <r>
      <t>Tax Rate</t>
    </r>
    <r>
      <rPr>
        <vertAlign val="superscript"/>
        <sz val="11"/>
        <color theme="1"/>
        <rFont val="Calibri"/>
        <family val="2"/>
      </rPr>
      <t xml:space="preserve"> 1</t>
    </r>
  </si>
  <si>
    <r>
      <t>Beta</t>
    </r>
    <r>
      <rPr>
        <vertAlign val="superscript"/>
        <sz val="11"/>
        <color theme="1"/>
        <rFont val="Calibri"/>
        <family val="2"/>
      </rPr>
      <t xml:space="preserve"> 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</si>
  <si>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</si>
  <si>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4. Levered Beta = Unlevered Beta/(1+(1-Tax Rate) x Debt/Equity)</t>
  </si>
  <si>
    <r>
      <t xml:space="preserve">Equity Risk Premium </t>
    </r>
    <r>
      <rPr>
        <vertAlign val="superscript"/>
        <sz val="11"/>
        <color theme="1"/>
        <rFont val="Calibri"/>
        <family val="2"/>
      </rPr>
      <t>5</t>
    </r>
  </si>
  <si>
    <t>5.Eq. Rsk Prm = Rm-Rf (Rm = Nifty 50 returns)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</si>
</sst>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7" fillId="0" borderId="0" xfId="0" applyFont="1"/>
    <xf numFmtId="10" fontId="7" fillId="0" borderId="0" xfId="0" applyNumberFormat="1" applyFont="1"/>
    <xf numFmtId="10" fontId="3" fillId="3" borderId="0" xfId="0" applyNumberFormat="1" applyFont="1" applyFill="1"/>
    <xf numFmtId="2" fontId="3" fillId="0" borderId="0" xfId="0" applyNumberFormat="1" applyFont="1"/>
    <xf numFmtId="10" fontId="3" fillId="0" borderId="1" xfId="0" applyNumberFormat="1" applyFont="1" applyBorder="1"/>
    <xf numFmtId="2" fontId="3" fillId="0" borderId="1" xfId="0" applyNumberFormat="1" applyFont="1" applyBorder="1"/>
    <xf numFmtId="10" fontId="3" fillId="0" borderId="2" xfId="0" applyNumberFormat="1" applyFont="1" applyBorder="1"/>
    <xf numFmtId="2" fontId="3" fillId="0" borderId="2" xfId="0" applyNumberFormat="1" applyFont="1" applyBorder="1"/>
    <xf numFmtId="10" fontId="3" fillId="0" borderId="0" xfId="0" applyNumberFormat="1" applyFont="1"/>
    <xf numFmtId="0" fontId="3" fillId="0" borderId="3" xfId="0" applyFont="1" applyBorder="1"/>
    <xf numFmtId="10" fontId="3" fillId="0" borderId="3" xfId="0" applyNumberFormat="1" applyFont="1" applyBorder="1"/>
    <xf numFmtId="0" fontId="3" fillId="0" borderId="4" xfId="0" applyFont="1" applyBorder="1"/>
    <xf numFmtId="2" fontId="3" fillId="0" borderId="4" xfId="0" applyNumberFormat="1" applyFont="1" applyBorder="1"/>
    <xf numFmtId="2" fontId="3" fillId="0" borderId="3" xfId="0" applyNumberFormat="1" applyFont="1" applyBorder="1"/>
    <xf numFmtId="0" fontId="5" fillId="4" borderId="0" xfId="0" applyFont="1" applyFill="1"/>
    <xf numFmtId="10" fontId="5" fillId="4" borderId="0" xfId="0" applyNumberFormat="1" applyFont="1" applyFill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J43"/>
  <sheetViews>
    <sheetView showGridLines="0" tabSelected="1" topLeftCell="A25" zoomScale="82" zoomScaleNormal="82" workbookViewId="0">
      <selection activeCell="K41" sqref="K41"/>
    </sheetView>
  </sheetViews>
  <sheetFormatPr defaultRowHeight="15"/>
  <cols>
    <col min="1" max="1" width="2.375" style="4" customWidth="1"/>
    <col min="2" max="2" width="15.875" style="4" bestFit="1" customWidth="1"/>
    <col min="3" max="3" width="7.75" style="4" bestFit="1" customWidth="1"/>
    <col min="4" max="4" width="9.875" style="4" bestFit="1" customWidth="1"/>
    <col min="5" max="5" width="12.625" style="4" customWidth="1"/>
    <col min="6" max="6" width="11.875" style="4" customWidth="1"/>
    <col min="7" max="9" width="12" style="4" bestFit="1" customWidth="1"/>
    <col min="10" max="10" width="12.25" style="4" customWidth="1"/>
    <col min="11" max="16384" width="9" style="4"/>
  </cols>
  <sheetData>
    <row r="3" spans="2:10" ht="18.75">
      <c r="B3" s="1" t="s">
        <v>0</v>
      </c>
      <c r="C3" s="2"/>
      <c r="D3" s="2"/>
      <c r="E3" s="2"/>
      <c r="F3" s="3"/>
      <c r="G3" s="3"/>
      <c r="H3" s="3"/>
      <c r="I3" s="3"/>
      <c r="J3" s="3"/>
    </row>
    <row r="6" spans="2:10">
      <c r="B6" s="5" t="s">
        <v>1</v>
      </c>
    </row>
    <row r="7" spans="2:10">
      <c r="B7" s="6"/>
      <c r="C7" s="6"/>
      <c r="D7" s="6"/>
      <c r="E7" s="6"/>
      <c r="F7" s="6"/>
      <c r="G7" s="7" t="s">
        <v>2</v>
      </c>
      <c r="H7" s="7" t="s">
        <v>2</v>
      </c>
      <c r="I7" s="7" t="s">
        <v>3</v>
      </c>
      <c r="J7" s="7" t="s">
        <v>4</v>
      </c>
    </row>
    <row r="8" spans="2:10" ht="17.25">
      <c r="B8" s="8" t="s">
        <v>5</v>
      </c>
      <c r="C8" s="8" t="s">
        <v>6</v>
      </c>
      <c r="D8" s="8" t="s">
        <v>7</v>
      </c>
      <c r="E8" s="9" t="s">
        <v>8</v>
      </c>
      <c r="F8" s="9" t="s">
        <v>42</v>
      </c>
      <c r="G8" s="9" t="s">
        <v>9</v>
      </c>
      <c r="H8" s="9" t="s">
        <v>10</v>
      </c>
      <c r="I8" s="9" t="s">
        <v>43</v>
      </c>
      <c r="J8" s="9" t="s">
        <v>44</v>
      </c>
    </row>
    <row r="10" spans="2:10">
      <c r="B10" s="10" t="s">
        <v>11</v>
      </c>
      <c r="C10" s="10" t="s">
        <v>12</v>
      </c>
      <c r="D10" s="10">
        <v>819.62</v>
      </c>
      <c r="E10" s="10">
        <v>263670.53000000003</v>
      </c>
      <c r="F10" s="11">
        <v>0.3</v>
      </c>
      <c r="G10" s="12">
        <f>D10/E10</f>
        <v>3.108500597317417E-3</v>
      </c>
      <c r="H10" s="12">
        <f>D10/(E10+D10)</f>
        <v>3.0988677650188481E-3</v>
      </c>
      <c r="I10" s="13">
        <v>1.04</v>
      </c>
      <c r="J10" s="13">
        <f>I10/(1+(1-F10)*G10)</f>
        <v>1.0377419250243403</v>
      </c>
    </row>
    <row r="11" spans="2:10">
      <c r="B11" s="10" t="s">
        <v>18</v>
      </c>
      <c r="C11" s="10" t="s">
        <v>12</v>
      </c>
      <c r="D11" s="10">
        <v>1571.45</v>
      </c>
      <c r="E11" s="10">
        <v>564.32000000000005</v>
      </c>
      <c r="F11" s="11">
        <v>0.3</v>
      </c>
      <c r="G11" s="12">
        <f t="shared" ref="G11:G14" si="0">D11/E11</f>
        <v>2.784678905585483</v>
      </c>
      <c r="H11" s="12">
        <f t="shared" ref="H11:H14" si="1">D11/(E11+D11)</f>
        <v>0.73577679244487937</v>
      </c>
      <c r="I11" s="13">
        <v>2.17</v>
      </c>
      <c r="J11" s="13">
        <f t="shared" ref="J11:J14" si="2">I11/(1+(1-F11)*G11)</f>
        <v>0.73577398780894476</v>
      </c>
    </row>
    <row r="12" spans="2:10">
      <c r="B12" s="10" t="s">
        <v>17</v>
      </c>
      <c r="C12" s="10" t="s">
        <v>12</v>
      </c>
      <c r="D12" s="10">
        <v>782.51</v>
      </c>
      <c r="E12" s="10">
        <v>7237.11</v>
      </c>
      <c r="F12" s="11">
        <v>0.3</v>
      </c>
      <c r="G12" s="12">
        <f t="shared" si="0"/>
        <v>0.10812465196742899</v>
      </c>
      <c r="H12" s="12">
        <f t="shared" si="1"/>
        <v>9.757444866464994E-2</v>
      </c>
      <c r="I12" s="13">
        <v>0.82</v>
      </c>
      <c r="J12" s="13">
        <f t="shared" si="2"/>
        <v>0.76230335084722711</v>
      </c>
    </row>
    <row r="13" spans="2:10">
      <c r="B13" s="10" t="s">
        <v>16</v>
      </c>
      <c r="C13" s="10" t="s">
        <v>12</v>
      </c>
      <c r="D13" s="10">
        <v>3314.09</v>
      </c>
      <c r="E13" s="10">
        <v>5540.92</v>
      </c>
      <c r="F13" s="11">
        <v>0.3</v>
      </c>
      <c r="G13" s="12">
        <f t="shared" si="0"/>
        <v>0.5981118658995257</v>
      </c>
      <c r="H13" s="12">
        <f t="shared" si="1"/>
        <v>0.37426157621504663</v>
      </c>
      <c r="I13" s="13">
        <v>0.9</v>
      </c>
      <c r="J13" s="13">
        <f t="shared" si="2"/>
        <v>0.63439329135532685</v>
      </c>
    </row>
    <row r="14" spans="2:10">
      <c r="B14" s="10" t="s">
        <v>15</v>
      </c>
      <c r="C14" s="10" t="s">
        <v>12</v>
      </c>
      <c r="D14" s="10">
        <v>1976.45</v>
      </c>
      <c r="E14" s="10">
        <v>5035.9799999999996</v>
      </c>
      <c r="F14" s="11">
        <v>0.3</v>
      </c>
      <c r="G14" s="12">
        <f t="shared" si="0"/>
        <v>0.39246581598814934</v>
      </c>
      <c r="H14" s="12">
        <f t="shared" si="1"/>
        <v>0.2818495157883929</v>
      </c>
      <c r="I14" s="13">
        <v>0.98</v>
      </c>
      <c r="J14" s="13">
        <f t="shared" si="2"/>
        <v>0.76879262309574192</v>
      </c>
    </row>
    <row r="16" spans="2:10">
      <c r="E16" s="6" t="s">
        <v>13</v>
      </c>
      <c r="F16" s="14">
        <f>AVERAGE(F10:F14)</f>
        <v>0.3</v>
      </c>
      <c r="G16" s="14">
        <f>AVERAGE(G10:G14)</f>
        <v>0.77729794800758101</v>
      </c>
      <c r="H16" s="14">
        <f>AVERAGE(H10:H14)</f>
        <v>0.29851224017559752</v>
      </c>
      <c r="I16" s="15">
        <f>AVERAGE(I10:I14)</f>
        <v>1.1819999999999999</v>
      </c>
      <c r="J16" s="15">
        <f>AVERAGE(J10:J14)</f>
        <v>0.7878010356263162</v>
      </c>
    </row>
    <row r="17" spans="2:10">
      <c r="E17" s="8" t="s">
        <v>14</v>
      </c>
      <c r="F17" s="16">
        <f>MEDIAN(F10:F14)</f>
        <v>0.3</v>
      </c>
      <c r="G17" s="16">
        <f>MEDIAN(G10:G14)</f>
        <v>0.39246581598814934</v>
      </c>
      <c r="H17" s="16">
        <f>MEDIAN(H10:H14)</f>
        <v>0.2818495157883929</v>
      </c>
      <c r="I17" s="17">
        <f>MEDIAN(I10:I14)</f>
        <v>0.98</v>
      </c>
      <c r="J17" s="17">
        <f>MEDIAN(J10:J14)</f>
        <v>0.76230335084722711</v>
      </c>
    </row>
    <row r="20" spans="2:10">
      <c r="B20" s="8" t="s">
        <v>19</v>
      </c>
      <c r="C20" s="8"/>
      <c r="D20" s="8"/>
      <c r="E20" s="8"/>
      <c r="G20" s="8" t="s">
        <v>20</v>
      </c>
      <c r="H20" s="8"/>
      <c r="I20" s="8"/>
      <c r="J20" s="8"/>
    </row>
    <row r="22" spans="2:10">
      <c r="B22" s="4" t="s">
        <v>21</v>
      </c>
      <c r="E22" s="11">
        <f>56/820</f>
        <v>6.8292682926829273E-2</v>
      </c>
      <c r="G22" s="4" t="s">
        <v>22</v>
      </c>
      <c r="J22" s="11">
        <v>6.2899999999999998E-2</v>
      </c>
    </row>
    <row r="23" spans="2:10" ht="17.25">
      <c r="B23" s="4" t="s">
        <v>23</v>
      </c>
      <c r="E23" s="18">
        <f>F10</f>
        <v>0.3</v>
      </c>
      <c r="G23" s="4" t="s">
        <v>46</v>
      </c>
      <c r="J23" s="11">
        <v>0.164185</v>
      </c>
    </row>
    <row r="24" spans="2:10">
      <c r="B24" s="19" t="s">
        <v>24</v>
      </c>
      <c r="C24" s="19"/>
      <c r="D24" s="19"/>
      <c r="E24" s="20">
        <f>E22*(1-E23)</f>
        <v>4.7804878048780489E-2</v>
      </c>
      <c r="G24" s="21" t="s">
        <v>25</v>
      </c>
      <c r="H24" s="21"/>
      <c r="I24" s="21"/>
      <c r="J24" s="22">
        <f>J33</f>
        <v>2.5895142593471596</v>
      </c>
    </row>
    <row r="25" spans="2:10">
      <c r="G25" s="4" t="s">
        <v>20</v>
      </c>
      <c r="J25" s="18">
        <f>J22+J23*J24</f>
        <v>0.48805939867091341</v>
      </c>
    </row>
    <row r="28" spans="2:10">
      <c r="B28" s="8" t="s">
        <v>26</v>
      </c>
      <c r="C28" s="8"/>
      <c r="D28" s="8"/>
      <c r="E28" s="8"/>
      <c r="G28" s="8" t="s">
        <v>27</v>
      </c>
      <c r="H28" s="8"/>
      <c r="I28" s="8"/>
      <c r="J28" s="8"/>
    </row>
    <row r="30" spans="2:10">
      <c r="D30" s="8" t="s">
        <v>28</v>
      </c>
      <c r="E30" s="8" t="s">
        <v>29</v>
      </c>
      <c r="G30" s="4" t="s">
        <v>30</v>
      </c>
      <c r="J30" s="13">
        <f>J17</f>
        <v>0.76230335084722711</v>
      </c>
    </row>
    <row r="31" spans="2:10">
      <c r="B31" s="4" t="s">
        <v>7</v>
      </c>
      <c r="C31" s="10">
        <f>D10</f>
        <v>819.62</v>
      </c>
      <c r="D31" s="18">
        <f>C31/C33</f>
        <v>3.0988677650188481E-3</v>
      </c>
      <c r="E31" s="18">
        <f>G16</f>
        <v>0.77729794800758101</v>
      </c>
      <c r="G31" s="4" t="s">
        <v>31</v>
      </c>
      <c r="J31" s="18">
        <f>E35</f>
        <v>3.4242290748898681</v>
      </c>
    </row>
    <row r="32" spans="2:10">
      <c r="B32" s="4" t="s">
        <v>32</v>
      </c>
      <c r="C32" s="10">
        <f>E10</f>
        <v>263670.53000000003</v>
      </c>
      <c r="D32" s="18">
        <f>1-D31</f>
        <v>0.99690113223498111</v>
      </c>
      <c r="E32" s="18">
        <f>1-E31</f>
        <v>0.22270205199241899</v>
      </c>
      <c r="G32" s="4" t="s">
        <v>23</v>
      </c>
      <c r="J32" s="18">
        <f>F10</f>
        <v>0.3</v>
      </c>
    </row>
    <row r="33" spans="2:10">
      <c r="B33" s="4" t="s">
        <v>33</v>
      </c>
      <c r="C33" s="19">
        <f>SUM(C31:C32)</f>
        <v>264490.15000000002</v>
      </c>
      <c r="D33" s="19">
        <v>1</v>
      </c>
      <c r="E33" s="19">
        <v>1</v>
      </c>
      <c r="G33" s="19" t="s">
        <v>34</v>
      </c>
      <c r="H33" s="19"/>
      <c r="I33" s="19"/>
      <c r="J33" s="23">
        <f>J30*(1+(1-F10)*J31)</f>
        <v>2.5895142593471596</v>
      </c>
    </row>
    <row r="35" spans="2:10">
      <c r="B35" s="4" t="s">
        <v>35</v>
      </c>
      <c r="D35" s="12">
        <v>3.112495454385235E-3</v>
      </c>
      <c r="E35" s="12">
        <f>77.73%/22.7%</f>
        <v>3.4242290748898681</v>
      </c>
      <c r="G35" s="8" t="s">
        <v>0</v>
      </c>
      <c r="H35" s="8"/>
      <c r="I35" s="8"/>
      <c r="J35" s="8"/>
    </row>
    <row r="37" spans="2:10">
      <c r="B37" s="26" t="s">
        <v>36</v>
      </c>
      <c r="C37" s="19"/>
      <c r="D37" s="19"/>
      <c r="E37" s="19"/>
      <c r="F37" s="27"/>
      <c r="G37" s="4" t="s">
        <v>20</v>
      </c>
      <c r="J37" s="18">
        <f>J25</f>
        <v>0.48805939867091341</v>
      </c>
    </row>
    <row r="38" spans="2:10">
      <c r="B38" s="28" t="s">
        <v>37</v>
      </c>
      <c r="C38" s="29"/>
      <c r="D38" s="29"/>
      <c r="E38" s="29"/>
      <c r="F38" s="30"/>
      <c r="G38" s="4" t="s">
        <v>38</v>
      </c>
      <c r="J38" s="18">
        <f>D32</f>
        <v>0.99690113223498111</v>
      </c>
    </row>
    <row r="39" spans="2:10">
      <c r="B39" s="28" t="s">
        <v>39</v>
      </c>
      <c r="C39" s="29"/>
      <c r="D39" s="29"/>
      <c r="E39" s="29"/>
      <c r="F39" s="30"/>
    </row>
    <row r="40" spans="2:10">
      <c r="B40" s="28" t="s">
        <v>45</v>
      </c>
      <c r="C40" s="29"/>
      <c r="D40" s="29"/>
      <c r="E40" s="29"/>
      <c r="F40" s="30"/>
      <c r="G40" s="4" t="s">
        <v>19</v>
      </c>
      <c r="J40" s="18">
        <f>E24</f>
        <v>4.7804878048780489E-2</v>
      </c>
    </row>
    <row r="41" spans="2:10">
      <c r="B41" s="31" t="s">
        <v>47</v>
      </c>
      <c r="C41" s="21"/>
      <c r="D41" s="21"/>
      <c r="E41" s="21"/>
      <c r="F41" s="32"/>
      <c r="G41" s="4" t="s">
        <v>40</v>
      </c>
      <c r="J41" s="18">
        <f>D31</f>
        <v>3.0988677650188481E-3</v>
      </c>
    </row>
    <row r="43" spans="2:10">
      <c r="G43" s="24" t="s">
        <v>41</v>
      </c>
      <c r="H43" s="24"/>
      <c r="I43" s="24"/>
      <c r="J43" s="25">
        <f>J37*J38+J40*J41</f>
        <v>0.48669510812855366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Zaks</dc:creator>
  <cp:lastModifiedBy>Akhtar</cp:lastModifiedBy>
  <dcterms:created xsi:type="dcterms:W3CDTF">2025-06-14T09:45:46Z</dcterms:created>
  <dcterms:modified xsi:type="dcterms:W3CDTF">2025-06-14T17:43:16Z</dcterms:modified>
</cp:coreProperties>
</file>