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chrome Downloads\"/>
    </mc:Choice>
  </mc:AlternateContent>
  <bookViews>
    <workbookView xWindow="0" yWindow="0" windowWidth="20490" windowHeight="7620" tabRatio="775" activeTab="8"/>
  </bookViews>
  <sheets>
    <sheet name="DCF&gt;" sheetId="5" r:id="rId1"/>
    <sheet name="WACC" sheetId="1" r:id="rId2"/>
    <sheet name="Data&gt;" sheetId="6" r:id="rId3"/>
    <sheet name="Beta - Comps" sheetId="8" r:id="rId4"/>
    <sheet name="Intrisic Growth" sheetId="14" r:id="rId5"/>
    <sheet name="DCF" sheetId="15" r:id="rId6"/>
    <sheet name="Data Room&gt;" sheetId="12" r:id="rId7"/>
    <sheet name="Data Sheet" sheetId="11" r:id="rId8"/>
    <sheet name="Raw FS" sheetId="13" r:id="rId9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"01/26/2023 09:21:20"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5" l="1"/>
  <c r="D37" i="15"/>
  <c r="D20" i="15"/>
  <c r="D18" i="15"/>
  <c r="E8" i="15"/>
  <c r="E11" i="15"/>
  <c r="K38" i="14"/>
  <c r="J38" i="14"/>
  <c r="I38" i="14"/>
  <c r="H38" i="14"/>
  <c r="G38" i="14"/>
  <c r="M27" i="13"/>
  <c r="L27" i="13"/>
  <c r="K27" i="13"/>
  <c r="J27" i="13"/>
  <c r="I27" i="13"/>
  <c r="H27" i="13"/>
  <c r="G27" i="13"/>
  <c r="F27" i="13"/>
  <c r="E27" i="13"/>
  <c r="D27" i="13"/>
  <c r="C27" i="13"/>
  <c r="C29" i="13" s="1"/>
  <c r="N27" i="13"/>
  <c r="D16" i="13"/>
  <c r="E16" i="13"/>
  <c r="F16" i="13"/>
  <c r="G16" i="13"/>
  <c r="H16" i="13"/>
  <c r="I16" i="13"/>
  <c r="J16" i="13"/>
  <c r="K16" i="13"/>
  <c r="L16" i="13"/>
  <c r="M16" i="13"/>
  <c r="N16" i="13"/>
  <c r="C16" i="13"/>
  <c r="J37" i="1"/>
  <c r="J28" i="1" s="1"/>
  <c r="J27" i="1"/>
  <c r="E26" i="1" l="1"/>
  <c r="B18" i="1"/>
  <c r="B17" i="1"/>
  <c r="B16" i="1"/>
  <c r="B15" i="1"/>
  <c r="B14" i="1"/>
  <c r="E18" i="1"/>
  <c r="E17" i="1"/>
  <c r="E16" i="1"/>
  <c r="E15" i="1"/>
  <c r="D18" i="1"/>
  <c r="D17" i="1"/>
  <c r="D16" i="1"/>
  <c r="D15" i="1"/>
  <c r="E14" i="1"/>
  <c r="D14" i="1"/>
  <c r="F11" i="8"/>
  <c r="F10" i="8"/>
  <c r="F9" i="8"/>
  <c r="F8" i="8"/>
  <c r="F7" i="8"/>
  <c r="D26" i="15" l="1"/>
  <c r="G13" i="15"/>
  <c r="H13" i="15" s="1"/>
  <c r="I13" i="15" s="1"/>
  <c r="J13" i="15" s="1"/>
  <c r="F9" i="15"/>
  <c r="G9" i="15" s="1"/>
  <c r="H9" i="15" s="1"/>
  <c r="I9" i="15" s="1"/>
  <c r="J9" i="15" s="1"/>
  <c r="K59" i="14" l="1"/>
  <c r="J59" i="14"/>
  <c r="I59" i="14"/>
  <c r="H59" i="14"/>
  <c r="G59" i="14"/>
  <c r="K45" i="14"/>
  <c r="J45" i="14"/>
  <c r="I45" i="14"/>
  <c r="H45" i="14"/>
  <c r="G45" i="14"/>
  <c r="K43" i="14"/>
  <c r="J43" i="14"/>
  <c r="I43" i="14"/>
  <c r="H43" i="14"/>
  <c r="G43" i="14"/>
  <c r="K6" i="14"/>
  <c r="E6" i="15" s="1"/>
  <c r="F6" i="15" s="1"/>
  <c r="G6" i="15" s="1"/>
  <c r="H6" i="15" s="1"/>
  <c r="I6" i="15" s="1"/>
  <c r="J6" i="15" s="1"/>
  <c r="J6" i="14"/>
  <c r="I6" i="14"/>
  <c r="H6" i="14"/>
  <c r="G6" i="14"/>
  <c r="K34" i="14"/>
  <c r="J34" i="14"/>
  <c r="I34" i="14"/>
  <c r="H34" i="14"/>
  <c r="G34" i="14"/>
  <c r="K31" i="14"/>
  <c r="J31" i="14"/>
  <c r="I31" i="14"/>
  <c r="H31" i="14"/>
  <c r="G31" i="14"/>
  <c r="K30" i="14"/>
  <c r="J30" i="14"/>
  <c r="I30" i="14"/>
  <c r="H30" i="14"/>
  <c r="G30" i="14"/>
  <c r="K29" i="14"/>
  <c r="J29" i="14"/>
  <c r="I29" i="14"/>
  <c r="H29" i="14"/>
  <c r="G29" i="14"/>
  <c r="K28" i="14"/>
  <c r="J28" i="14"/>
  <c r="I28" i="14"/>
  <c r="H28" i="14"/>
  <c r="G28" i="14"/>
  <c r="K27" i="14"/>
  <c r="J27" i="14"/>
  <c r="I27" i="14"/>
  <c r="H27" i="14"/>
  <c r="G27" i="14"/>
  <c r="K26" i="14"/>
  <c r="J26" i="14"/>
  <c r="I26" i="14"/>
  <c r="H26" i="14"/>
  <c r="G26" i="14"/>
  <c r="K25" i="14"/>
  <c r="J25" i="14"/>
  <c r="I25" i="14"/>
  <c r="H25" i="14"/>
  <c r="G25" i="14"/>
  <c r="K24" i="14"/>
  <c r="J24" i="14"/>
  <c r="I24" i="14"/>
  <c r="H24" i="14"/>
  <c r="G24" i="14"/>
  <c r="B25" i="14"/>
  <c r="B26" i="14"/>
  <c r="B27" i="14"/>
  <c r="B28" i="14"/>
  <c r="B29" i="14"/>
  <c r="B30" i="14"/>
  <c r="B31" i="14"/>
  <c r="B24" i="14"/>
  <c r="K18" i="14"/>
  <c r="J18" i="14"/>
  <c r="I18" i="14"/>
  <c r="H18" i="14"/>
  <c r="G18" i="14"/>
  <c r="K17" i="14"/>
  <c r="J17" i="14"/>
  <c r="I17" i="14"/>
  <c r="H17" i="14"/>
  <c r="G17" i="14"/>
  <c r="K16" i="14"/>
  <c r="J16" i="14"/>
  <c r="I16" i="14"/>
  <c r="H16" i="14"/>
  <c r="G16" i="14"/>
  <c r="B18" i="14"/>
  <c r="B17" i="14"/>
  <c r="B16" i="14"/>
  <c r="K12" i="14"/>
  <c r="J12" i="14"/>
  <c r="I12" i="14"/>
  <c r="H12" i="14"/>
  <c r="G12" i="14"/>
  <c r="K11" i="14"/>
  <c r="J11" i="14"/>
  <c r="I11" i="14"/>
  <c r="H11" i="14"/>
  <c r="G11" i="14"/>
  <c r="K10" i="14"/>
  <c r="J10" i="14"/>
  <c r="I10" i="14"/>
  <c r="H10" i="14"/>
  <c r="G10" i="14"/>
  <c r="K9" i="14"/>
  <c r="J9" i="14"/>
  <c r="I9" i="14"/>
  <c r="H9" i="14"/>
  <c r="G9" i="14"/>
  <c r="B12" i="14"/>
  <c r="B11" i="14"/>
  <c r="B10" i="14"/>
  <c r="B9" i="14"/>
  <c r="N29" i="13"/>
  <c r="M29" i="13"/>
  <c r="L29" i="13"/>
  <c r="K29" i="13"/>
  <c r="J29" i="13"/>
  <c r="I29" i="13"/>
  <c r="H29" i="13"/>
  <c r="G29" i="13"/>
  <c r="F29" i="13"/>
  <c r="E29" i="13"/>
  <c r="D29" i="13"/>
  <c r="K73" i="11"/>
  <c r="J73" i="11"/>
  <c r="I73" i="11"/>
  <c r="H73" i="11"/>
  <c r="K51" i="11"/>
  <c r="J51" i="11"/>
  <c r="I51" i="11"/>
  <c r="H51" i="11"/>
  <c r="G51" i="11"/>
  <c r="F51" i="11"/>
  <c r="E51" i="11"/>
  <c r="D51" i="11"/>
  <c r="C51" i="11"/>
  <c r="B51" i="11"/>
  <c r="K34" i="11"/>
  <c r="J34" i="11"/>
  <c r="I34" i="11"/>
  <c r="H34" i="11"/>
  <c r="G34" i="11"/>
  <c r="F34" i="11"/>
  <c r="E34" i="11"/>
  <c r="D34" i="11"/>
  <c r="C34" i="11"/>
  <c r="B34" i="11"/>
  <c r="B15" i="11" s="1"/>
  <c r="K32" i="11"/>
  <c r="J32" i="11"/>
  <c r="I32" i="11"/>
  <c r="H32" i="11"/>
  <c r="G32" i="11"/>
  <c r="F32" i="11"/>
  <c r="E32" i="11"/>
  <c r="D32" i="11"/>
  <c r="C32" i="11"/>
  <c r="B32" i="11"/>
  <c r="K15" i="11"/>
  <c r="B6" i="11"/>
  <c r="D40" i="15" s="1"/>
  <c r="E1" i="11"/>
  <c r="E10" i="15" l="1"/>
  <c r="F8" i="15"/>
  <c r="I33" i="14"/>
  <c r="I35" i="14" s="1"/>
  <c r="G33" i="14"/>
  <c r="G35" i="14" s="1"/>
  <c r="H33" i="14"/>
  <c r="H35" i="14" s="1"/>
  <c r="J33" i="14"/>
  <c r="J35" i="14" s="1"/>
  <c r="K33" i="14"/>
  <c r="K35" i="14" s="1"/>
  <c r="H13" i="14"/>
  <c r="G13" i="14"/>
  <c r="I13" i="14"/>
  <c r="I19" i="14"/>
  <c r="G19" i="14"/>
  <c r="J13" i="14"/>
  <c r="K13" i="14"/>
  <c r="J19" i="14"/>
  <c r="H19" i="14"/>
  <c r="K19" i="14"/>
  <c r="I48" i="14"/>
  <c r="I50" i="14" s="1"/>
  <c r="J48" i="14"/>
  <c r="J50" i="14" s="1"/>
  <c r="F10" i="15" l="1"/>
  <c r="G8" i="15"/>
  <c r="K21" i="14"/>
  <c r="H21" i="14"/>
  <c r="G21" i="14"/>
  <c r="G37" i="14" s="1"/>
  <c r="J21" i="14"/>
  <c r="I21" i="14"/>
  <c r="G48" i="14"/>
  <c r="G50" i="14" s="1"/>
  <c r="K48" i="14"/>
  <c r="K50" i="14" s="1"/>
  <c r="G40" i="14" l="1"/>
  <c r="H8" i="15"/>
  <c r="G10" i="15"/>
  <c r="I46" i="14"/>
  <c r="I52" i="14" s="1"/>
  <c r="I54" i="14" s="1"/>
  <c r="I61" i="14" s="1"/>
  <c r="I37" i="14"/>
  <c r="I40" i="14" s="1"/>
  <c r="I62" i="14" s="1"/>
  <c r="J46" i="14"/>
  <c r="J52" i="14" s="1"/>
  <c r="J54" i="14" s="1"/>
  <c r="J61" i="14" s="1"/>
  <c r="J37" i="14"/>
  <c r="J40" i="14" s="1"/>
  <c r="J62" i="14" s="1"/>
  <c r="H46" i="14"/>
  <c r="H52" i="14" s="1"/>
  <c r="H37" i="14"/>
  <c r="K46" i="14"/>
  <c r="K52" i="14" s="1"/>
  <c r="K54" i="14" s="1"/>
  <c r="K61" i="14" s="1"/>
  <c r="K37" i="14"/>
  <c r="K40" i="14" s="1"/>
  <c r="K62" i="14" s="1"/>
  <c r="H48" i="14"/>
  <c r="H50" i="14" s="1"/>
  <c r="K64" i="14" l="1"/>
  <c r="I8" i="15"/>
  <c r="H10" i="15"/>
  <c r="J64" i="14"/>
  <c r="H40" i="14"/>
  <c r="H62" i="14" s="1"/>
  <c r="H54" i="14"/>
  <c r="H61" i="14" s="1"/>
  <c r="I64" i="14"/>
  <c r="H64" i="14" l="1"/>
  <c r="K66" i="14" s="1"/>
  <c r="K57" i="14"/>
  <c r="F11" i="15" s="1"/>
  <c r="I10" i="15"/>
  <c r="J8" i="15"/>
  <c r="J10" i="15" s="1"/>
  <c r="J12" i="15" s="1"/>
  <c r="K56" i="14"/>
  <c r="K67" i="14" l="1"/>
  <c r="E12" i="15"/>
  <c r="D24" i="15"/>
  <c r="G11" i="15"/>
  <c r="F12" i="15"/>
  <c r="H11" i="15" l="1"/>
  <c r="G12" i="15"/>
  <c r="C35" i="1"/>
  <c r="G17" i="1" l="1"/>
  <c r="J17" i="1" s="1"/>
  <c r="G16" i="1"/>
  <c r="J16" i="1" s="1"/>
  <c r="G18" i="1"/>
  <c r="J18" i="1" s="1"/>
  <c r="G14" i="1"/>
  <c r="J14" i="1" s="1"/>
  <c r="H16" i="1"/>
  <c r="G15" i="1"/>
  <c r="J15" i="1" s="1"/>
  <c r="I11" i="15"/>
  <c r="I12" i="15" s="1"/>
  <c r="H12" i="15"/>
  <c r="H14" i="1"/>
  <c r="H15" i="1"/>
  <c r="H17" i="1"/>
  <c r="H18" i="1"/>
  <c r="C36" i="1"/>
  <c r="C37" i="1" s="1"/>
  <c r="D37" i="1" s="1"/>
  <c r="E37" i="1" s="1"/>
  <c r="I21" i="1"/>
  <c r="F21" i="1"/>
  <c r="E27" i="1" s="1"/>
  <c r="E28" i="1" s="1"/>
  <c r="J44" i="1" s="1"/>
  <c r="I20" i="1"/>
  <c r="F20" i="1"/>
  <c r="J36" i="1" l="1"/>
  <c r="H21" i="1"/>
  <c r="D35" i="1"/>
  <c r="D36" i="1"/>
  <c r="G21" i="1"/>
  <c r="H20" i="1"/>
  <c r="E35" i="1" s="1"/>
  <c r="J45" i="1" s="1"/>
  <c r="J20" i="1"/>
  <c r="J21" i="1"/>
  <c r="J34" i="1" s="1"/>
  <c r="G20" i="1"/>
  <c r="E36" i="1" l="1"/>
  <c r="D39" i="1"/>
  <c r="E39" i="1" l="1"/>
  <c r="J35" i="1" s="1"/>
  <c r="J29" i="1" s="1"/>
  <c r="J41" i="1" s="1"/>
  <c r="J42" i="1"/>
  <c r="J47" i="1" l="1"/>
  <c r="G14" i="15" l="1"/>
  <c r="G16" i="15" s="1"/>
  <c r="H14" i="15"/>
  <c r="H16" i="15" s="1"/>
  <c r="J14" i="15"/>
  <c r="J16" i="15" s="1"/>
  <c r="F14" i="15"/>
  <c r="F16" i="15" s="1"/>
  <c r="I14" i="15"/>
  <c r="I16" i="15" s="1"/>
  <c r="D25" i="15"/>
  <c r="D28" i="15" s="1"/>
  <c r="D34" i="15" l="1"/>
  <c r="D33" i="15"/>
  <c r="D35" i="15" l="1"/>
  <c r="D39" i="15" s="1"/>
  <c r="D42" i="15" s="1"/>
  <c r="D45" i="15" s="1"/>
</calcChain>
</file>

<file path=xl/sharedStrings.xml><?xml version="1.0" encoding="utf-8"?>
<sst xmlns="http://schemas.openxmlformats.org/spreadsheetml/2006/main" count="259" uniqueCount="210">
  <si>
    <t>Weighted Average Cost of Capital</t>
  </si>
  <si>
    <t>All figures are in INR unless stated otherwise.</t>
  </si>
  <si>
    <t>Peer Comps</t>
  </si>
  <si>
    <t>Name</t>
  </si>
  <si>
    <t>Country</t>
  </si>
  <si>
    <t>Total Debt</t>
  </si>
  <si>
    <t>Total Equity</t>
  </si>
  <si>
    <t>Average</t>
  </si>
  <si>
    <t>Debt/</t>
  </si>
  <si>
    <t>Equity</t>
  </si>
  <si>
    <t>Levered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</si>
  <si>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</si>
  <si>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</si>
  <si>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t>Unlevered</t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</si>
  <si>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</si>
  <si>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India</t>
  </si>
  <si>
    <t>Capital</t>
  </si>
  <si>
    <t>Median</t>
  </si>
  <si>
    <t>Capital Structure</t>
  </si>
  <si>
    <t>Market Capitalization</t>
  </si>
  <si>
    <t>Total Capitalization</t>
  </si>
  <si>
    <t>Current</t>
  </si>
  <si>
    <t>Target</t>
  </si>
  <si>
    <t>Cost of Equity</t>
  </si>
  <si>
    <t>Risk Free Rate</t>
  </si>
  <si>
    <t>Equity Risk Premium</t>
  </si>
  <si>
    <t>Levered Beta</t>
  </si>
  <si>
    <t>Debt / Equity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</si>
  <si>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</si>
  <si>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Cost of Debt</t>
  </si>
  <si>
    <t>Pre-tax Cost of Debt</t>
  </si>
  <si>
    <t>Tax Rate</t>
  </si>
  <si>
    <t>After Tax Cost of Debt</t>
  </si>
  <si>
    <t xml:space="preserve">Levered Beta </t>
  </si>
  <si>
    <t>Comps Median Unlevered Beta</t>
  </si>
  <si>
    <t xml:space="preserve">Target Debt/ Equity  </t>
  </si>
  <si>
    <t>1. Tax Rate considered as Marginal Tax Rate for the country</t>
  </si>
  <si>
    <t>2. Levered Beta is based on 5 year monthly data</t>
  </si>
  <si>
    <t xml:space="preserve"> </t>
  </si>
  <si>
    <t>3. Unlevered Beta = Levered Beta/(1+(1-Tax Rate) x Debt/Equity)</t>
  </si>
  <si>
    <t>S.No.</t>
  </si>
  <si>
    <t>Debt / Eq</t>
  </si>
  <si>
    <t>Total</t>
  </si>
  <si>
    <t>Equity Weight</t>
  </si>
  <si>
    <t>Debt Weight</t>
  </si>
  <si>
    <t>WACC</t>
  </si>
  <si>
    <t>#</t>
  </si>
  <si>
    <t>Sales</t>
  </si>
  <si>
    <t>EBITDA</t>
  </si>
  <si>
    <t>Interest</t>
  </si>
  <si>
    <t>Depreciation</t>
  </si>
  <si>
    <t>Tax</t>
  </si>
  <si>
    <t>Effective Tax Rate</t>
  </si>
  <si>
    <t>Equity Share Capital</t>
  </si>
  <si>
    <t>Reserves</t>
  </si>
  <si>
    <t>Borrowings</t>
  </si>
  <si>
    <t>Other Liabilities</t>
  </si>
  <si>
    <t>Total Liabilities</t>
  </si>
  <si>
    <t>Capital Work in Progress</t>
  </si>
  <si>
    <t>Investments</t>
  </si>
  <si>
    <t>Other Assets</t>
  </si>
  <si>
    <t>Receivables</t>
  </si>
  <si>
    <t>Inventory</t>
  </si>
  <si>
    <t>Cash &amp; Bank</t>
  </si>
  <si>
    <t>Total Current Assets</t>
  </si>
  <si>
    <t>Total Assets</t>
  </si>
  <si>
    <t>Net Cash Flow</t>
  </si>
  <si>
    <t>COMPANY NAME</t>
  </si>
  <si>
    <t>ASIAN PAINTS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</si>
  <si>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</si>
  <si>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</si>
  <si>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</si>
  <si>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</si>
  <si>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</si>
  <si>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</si>
  <si>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</si>
  <si>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</si>
  <si>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</si>
  <si>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</si>
  <si>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</si>
  <si>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</si>
  <si>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</si>
  <si>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</si>
  <si>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</si>
  <si>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</si>
  <si>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</si>
  <si>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Profit before tax</t>
  </si>
  <si>
    <t>Net profit</t>
  </si>
  <si>
    <t>Dividend Amount</t>
  </si>
  <si>
    <t>Quarters</t>
  </si>
  <si>
    <t>Expenses</t>
  </si>
  <si>
    <t>Operating Profit</t>
  </si>
  <si>
    <t>BALANCE SHEET</t>
  </si>
  <si>
    <t>Net Block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</si>
  <si>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</si>
  <si>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</si>
  <si>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</si>
  <si>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</si>
  <si>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</si>
  <si>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</si>
  <si>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</si>
  <si>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PRICE:</t>
  </si>
  <si>
    <t>DERIVED:</t>
  </si>
  <si>
    <t>Adjusted Equity Shares in Cr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</si>
  <si>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</si>
  <si>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</si>
  <si>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</si>
  <si>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</si>
  <si>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</si>
  <si>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</si>
  <si>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</si>
  <si>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</si>
  <si>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</si>
  <si>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</si>
  <si>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</si>
  <si>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</si>
  <si>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</si>
  <si>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</si>
  <si>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</si>
  <si>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</si>
  <si>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</si>
  <si>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</si>
  <si>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</si>
  <si>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</si>
  <si>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</si>
  <si>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</si>
  <si>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</si>
  <si>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</si>
  <si>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</si>
  <si>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</si>
  <si>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</si>
  <si>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</si>
  <si>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</si>
  <si>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Particulars</t>
  </si>
  <si>
    <t>ROIC</t>
  </si>
  <si>
    <t>Calculation of ROIC</t>
  </si>
  <si>
    <t>Current Assets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</si>
  <si>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</si>
  <si>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</si>
  <si>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</si>
  <si>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</si>
  <si>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</si>
  <si>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</si>
  <si>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EBIT</t>
  </si>
  <si>
    <t>Calculation of Reinvestment Rate</t>
  </si>
  <si>
    <t>Net Capex</t>
  </si>
  <si>
    <t>Profit from operations</t>
  </si>
  <si>
    <t>Payables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</si>
  <si>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</si>
  <si>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</si>
  <si>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</si>
  <si>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</si>
  <si>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</si>
  <si>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</si>
  <si>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</si>
  <si>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</si>
  <si>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</si>
  <si>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</si>
  <si>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</si>
  <si>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</si>
  <si>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</si>
  <si>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</si>
  <si>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</si>
  <si>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</si>
  <si>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</si>
  <si>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</si>
  <si>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Change in Working Capital</t>
  </si>
  <si>
    <t>Marginal Tax Rate</t>
  </si>
  <si>
    <t>Reinvestment</t>
  </si>
  <si>
    <t>EBIT(1-T)</t>
  </si>
  <si>
    <t>Reinvestment Rate</t>
  </si>
  <si>
    <t>4 Year Average</t>
  </si>
  <si>
    <t>4 Year Median</t>
  </si>
  <si>
    <t>Calculation of Growth Rate</t>
  </si>
  <si>
    <t>Intrinsic Growth</t>
  </si>
  <si>
    <t>Less: Reinvestment Rate</t>
  </si>
  <si>
    <t>Expected Growth</t>
  </si>
  <si>
    <t>Terminal Growth</t>
  </si>
  <si>
    <t>Calculation of Terminal Value</t>
  </si>
  <si>
    <t>FCFF (n+1)</t>
  </si>
  <si>
    <t>Terminal Growth Rate</t>
  </si>
  <si>
    <t>Terminal Value</t>
  </si>
  <si>
    <t>Calculation of PV of FCFF</t>
  </si>
  <si>
    <t>Discounting Factor</t>
  </si>
  <si>
    <t>PV of FCFF</t>
  </si>
  <si>
    <t>PV of Terminal Value</t>
  </si>
  <si>
    <t>Add: Cash</t>
  </si>
  <si>
    <t>Less: Debt</t>
  </si>
  <si>
    <t>Value of Equity</t>
  </si>
  <si>
    <t>Free Cash Flow to Firm (FCFF)</t>
  </si>
  <si>
    <t>Mid Year Convention</t>
  </si>
  <si>
    <t>Value of Operating Assets</t>
  </si>
  <si>
    <t>Calculation of Equity Value per Share</t>
  </si>
  <si>
    <t>No of Shares</t>
  </si>
  <si>
    <t>Equity Value per Share</t>
  </si>
  <si>
    <t>Share price</t>
  </si>
  <si>
    <t>Discount/Premium</t>
  </si>
  <si>
    <t>Asian Paints</t>
  </si>
  <si>
    <t>Berger Paints</t>
  </si>
  <si>
    <t>Kansai Nerolac</t>
  </si>
  <si>
    <t>Akzo Nobel</t>
  </si>
  <si>
    <t>Indigo Paints</t>
  </si>
  <si>
    <t>debt</t>
  </si>
  <si>
    <t>mark cap</t>
  </si>
  <si>
    <t>4. Levered Beta = Unlevered Beta/(1+(1-Tax Rate) x Debt/Equity)</t>
  </si>
  <si>
    <t>Cash from Operating Activity -</t>
  </si>
  <si>
    <t>Cash from Investing Activity -</t>
  </si>
  <si>
    <t>Investment in group cos</t>
  </si>
  <si>
    <t>Cash from Financing Activity -</t>
  </si>
  <si>
    <t>Proceeds from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</si>
</sst>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64" formatCode="_ * #,##0.00_ ;_ * \-#,##0.00_ ;_ * &quot;-&quot;??_ ;_ @_ "/>
    <numFmt numFmtId="165" formatCode="#,##0.0"/>
    <numFmt numFmtId="169" formatCode="[$-409]mmm\-yy;@"/>
    <numFmt numFmtId="170" formatCode="#,##0.0;\(#,##0.0\);\-"/>
    <numFmt numFmtId="171" formatCode="0.000000000000000%"/>
    <numFmt numFmtId="172" formatCode="0.000"/>
    <numFmt numFmtId="173" formatCode="mmm/yy&quot;A&quot;"/>
    <numFmt numFmtId="174" formatCode="mmm/yy&quot;F&quot;"/>
    <numFmt numFmtId="175" formatCode="0.00\x"/>
  </numFmts>
  <fonts count="24">
    <font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3333FF"/>
      <name val="calibri"/>
      <family val="2"/>
    </font>
    <font>
      <i/>
      <sz val="10"/>
      <color theme="1"/>
      <name val="calibri"/>
      <family val="2"/>
    </font>
    <font>
      <i/>
      <sz val="9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sz val="11"/>
      <color rgb="FF22222F"/>
      <name val="Arial"/>
      <family val="2"/>
    </font>
    <font>
      <sz val="11"/>
      <color rgb="FF22222F"/>
      <name val="Calibri "/>
    </font>
    <font>
      <sz val="11"/>
      <color rgb="FF22222F"/>
      <name val="Calibri 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6" fillId="6" borderId="0" applyNumberFormat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9" fillId="0" borderId="0"/>
  </cellStyleXfs>
  <cellXfs count="112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0" borderId="2" xfId="0" applyBorder="1" applyAlignment="1">
      <alignment vertical="top"/>
    </xf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0" fontId="0" fillId="0" borderId="0" xfId="0" applyAlignment="1">
      <alignment vertical="top"/>
    </xf>
    <xf numFmtId="2" fontId="0" fillId="0" borderId="0" xfId="0" applyNumberFormat="1"/>
    <xf numFmtId="0" fontId="6" fillId="0" borderId="0" xfId="0" applyFont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top"/>
    </xf>
    <xf numFmtId="2" fontId="6" fillId="0" borderId="0" xfId="0" applyNumberFormat="1" applyFont="1"/>
    <xf numFmtId="10" fontId="0" fillId="0" borderId="0" xfId="1" applyNumberFormat="1" applyFont="1"/>
    <xf numFmtId="10" fontId="6" fillId="0" borderId="0" xfId="0" applyNumberFormat="1" applyFont="1" applyAlignment="1">
      <alignment vertical="top"/>
    </xf>
    <xf numFmtId="10" fontId="0" fillId="0" borderId="0" xfId="0" applyNumberFormat="1"/>
    <xf numFmtId="0" fontId="1" fillId="0" borderId="3" xfId="0" applyFont="1" applyBorder="1"/>
    <xf numFmtId="10" fontId="0" fillId="0" borderId="3" xfId="1" applyNumberFormat="1" applyFont="1" applyBorder="1"/>
    <xf numFmtId="2" fontId="0" fillId="0" borderId="3" xfId="0" applyNumberFormat="1" applyBorder="1"/>
    <xf numFmtId="0" fontId="1" fillId="0" borderId="4" xfId="0" applyFont="1" applyBorder="1"/>
    <xf numFmtId="10" fontId="0" fillId="0" borderId="4" xfId="1" applyNumberFormat="1" applyFont="1" applyBorder="1"/>
    <xf numFmtId="2" fontId="0" fillId="0" borderId="4" xfId="0" applyNumberFormat="1" applyBorder="1"/>
    <xf numFmtId="10" fontId="0" fillId="4" borderId="0" xfId="1" applyNumberFormat="1" applyFont="1" applyFill="1" applyAlignment="1"/>
    <xf numFmtId="2" fontId="0" fillId="4" borderId="0" xfId="0" applyNumberFormat="1" applyFill="1"/>
    <xf numFmtId="0" fontId="0" fillId="0" borderId="4" xfId="0" applyBorder="1"/>
    <xf numFmtId="0" fontId="1" fillId="0" borderId="4" xfId="0" applyFont="1" applyBorder="1" applyAlignment="1">
      <alignment horizontal="right"/>
    </xf>
    <xf numFmtId="0" fontId="0" fillId="0" borderId="5" xfId="0" applyBorder="1"/>
    <xf numFmtId="10" fontId="0" fillId="0" borderId="5" xfId="1" applyNumberFormat="1" applyFont="1" applyBorder="1"/>
    <xf numFmtId="10" fontId="0" fillId="0" borderId="5" xfId="0" applyNumberFormat="1" applyBorder="1"/>
    <xf numFmtId="10" fontId="0" fillId="4" borderId="0" xfId="0" applyNumberFormat="1" applyFill="1"/>
    <xf numFmtId="10" fontId="0" fillId="4" borderId="5" xfId="1" applyNumberFormat="1" applyFont="1" applyFill="1" applyBorder="1"/>
    <xf numFmtId="10" fontId="6" fillId="0" borderId="0" xfId="0" applyNumberFormat="1" applyFont="1"/>
    <xf numFmtId="10" fontId="0" fillId="0" borderId="0" xfId="1" applyNumberFormat="1" applyFont="1" applyBorder="1"/>
    <xf numFmtId="2" fontId="0" fillId="0" borderId="5" xfId="0" applyNumberFormat="1" applyBorder="1"/>
    <xf numFmtId="0" fontId="7" fillId="0" borderId="0" xfId="0" applyFont="1"/>
    <xf numFmtId="0" fontId="8" fillId="0" borderId="0" xfId="0" applyFont="1"/>
    <xf numFmtId="165" fontId="6" fillId="0" borderId="0" xfId="0" applyNumberFormat="1" applyFont="1"/>
    <xf numFmtId="0" fontId="0" fillId="5" borderId="0" xfId="0" applyFill="1"/>
    <xf numFmtId="10" fontId="6" fillId="0" borderId="0" xfId="1" applyNumberFormat="1" applyFont="1"/>
    <xf numFmtId="0" fontId="9" fillId="2" borderId="0" xfId="0" applyFont="1" applyFill="1"/>
    <xf numFmtId="0" fontId="10" fillId="2" borderId="0" xfId="0" applyFont="1" applyFill="1"/>
    <xf numFmtId="10" fontId="0" fillId="0" borderId="0" xfId="0" applyNumberFormat="1" applyAlignment="1">
      <alignment horizontal="right"/>
    </xf>
    <xf numFmtId="10" fontId="6" fillId="0" borderId="0" xfId="0" applyNumberFormat="1" applyFont="1" applyAlignment="1">
      <alignment horizontal="right"/>
    </xf>
    <xf numFmtId="2" fontId="0" fillId="4" borderId="0" xfId="0" applyNumberFormat="1" applyFill="1" applyAlignment="1">
      <alignment horizontal="right"/>
    </xf>
    <xf numFmtId="10" fontId="0" fillId="4" borderId="5" xfId="0" applyNumberFormat="1" applyFill="1" applyBorder="1"/>
    <xf numFmtId="10" fontId="0" fillId="0" borderId="0" xfId="1" applyNumberFormat="1" applyFont="1" applyFill="1" applyBorder="1"/>
    <xf numFmtId="0" fontId="1" fillId="5" borderId="0" xfId="0" applyFont="1" applyFill="1"/>
    <xf numFmtId="10" fontId="1" fillId="5" borderId="0" xfId="0" applyNumberFormat="1" applyFont="1" applyFill="1"/>
    <xf numFmtId="0" fontId="9" fillId="0" borderId="0" xfId="0" applyFont="1"/>
    <xf numFmtId="17" fontId="9" fillId="0" borderId="0" xfId="0" applyNumberFormat="1" applyFont="1"/>
    <xf numFmtId="164" fontId="13" fillId="0" borderId="0" xfId="2" applyFont="1" applyBorder="1"/>
    <xf numFmtId="164" fontId="15" fillId="0" borderId="0" xfId="2" applyFont="1" applyBorder="1"/>
    <xf numFmtId="0" fontId="15" fillId="0" borderId="0" xfId="5" applyFont="1"/>
    <xf numFmtId="169" fontId="17" fillId="7" borderId="0" xfId="2" applyNumberFormat="1" applyFont="1" applyFill="1" applyBorder="1"/>
    <xf numFmtId="169" fontId="17" fillId="7" borderId="0" xfId="5" applyNumberFormat="1" applyFont="1" applyFill="1" applyAlignment="1">
      <alignment horizontal="center"/>
    </xf>
    <xf numFmtId="169" fontId="18" fillId="0" borderId="0" xfId="2" applyNumberFormat="1" applyFont="1" applyFill="1" applyBorder="1"/>
    <xf numFmtId="0" fontId="12" fillId="0" borderId="0" xfId="5"/>
    <xf numFmtId="9" fontId="15" fillId="0" borderId="0" xfId="6" applyFont="1" applyBorder="1"/>
    <xf numFmtId="0" fontId="19" fillId="0" borderId="0" xfId="7"/>
    <xf numFmtId="43" fontId="15" fillId="0" borderId="0" xfId="2" applyNumberFormat="1" applyFont="1" applyBorder="1"/>
    <xf numFmtId="3" fontId="0" fillId="0" borderId="0" xfId="0" applyNumberFormat="1"/>
    <xf numFmtId="17" fontId="9" fillId="2" borderId="0" xfId="0" applyNumberFormat="1" applyFont="1" applyFill="1"/>
    <xf numFmtId="0" fontId="0" fillId="8" borderId="0" xfId="0" applyFill="1"/>
    <xf numFmtId="17" fontId="20" fillId="8" borderId="0" xfId="0" applyNumberFormat="1" applyFont="1" applyFill="1" applyAlignment="1">
      <alignment horizontal="right" vertical="center" wrapText="1" indent="1"/>
    </xf>
    <xf numFmtId="0" fontId="1" fillId="0" borderId="7" xfId="0" applyFont="1" applyBorder="1"/>
    <xf numFmtId="0" fontId="0" fillId="0" borderId="6" xfId="0" applyBorder="1"/>
    <xf numFmtId="170" fontId="0" fillId="0" borderId="6" xfId="0" applyNumberFormat="1" applyBorder="1"/>
    <xf numFmtId="170" fontId="0" fillId="0" borderId="0" xfId="0" applyNumberFormat="1"/>
    <xf numFmtId="170" fontId="1" fillId="0" borderId="0" xfId="0" applyNumberFormat="1" applyFont="1"/>
    <xf numFmtId="0" fontId="1" fillId="0" borderId="1" xfId="0" applyFont="1" applyBorder="1"/>
    <xf numFmtId="170" fontId="0" fillId="0" borderId="1" xfId="0" applyNumberFormat="1" applyBorder="1"/>
    <xf numFmtId="170" fontId="0" fillId="0" borderId="8" xfId="0" applyNumberFormat="1" applyBorder="1"/>
    <xf numFmtId="170" fontId="1" fillId="0" borderId="7" xfId="0" applyNumberFormat="1" applyFont="1" applyBorder="1"/>
    <xf numFmtId="0" fontId="1" fillId="0" borderId="9" xfId="0" applyFont="1" applyBorder="1"/>
    <xf numFmtId="0" fontId="0" fillId="0" borderId="9" xfId="0" applyBorder="1"/>
    <xf numFmtId="10" fontId="1" fillId="0" borderId="9" xfId="1" applyNumberFormat="1" applyFont="1" applyBorder="1"/>
    <xf numFmtId="0" fontId="21" fillId="8" borderId="0" xfId="0" applyFont="1" applyFill="1" applyAlignment="1">
      <alignment horizontal="left" vertical="center" indent="1"/>
    </xf>
    <xf numFmtId="0" fontId="21" fillId="8" borderId="0" xfId="0" applyFont="1" applyFill="1" applyAlignment="1">
      <alignment horizontal="right" vertical="center" wrapText="1" indent="1"/>
    </xf>
    <xf numFmtId="3" fontId="21" fillId="8" borderId="0" xfId="0" applyNumberFormat="1" applyFont="1" applyFill="1" applyAlignment="1">
      <alignment horizontal="right" vertical="center" wrapText="1" indent="1"/>
    </xf>
    <xf numFmtId="0" fontId="21" fillId="8" borderId="0" xfId="0" applyFont="1" applyFill="1" applyAlignment="1">
      <alignment horizontal="left" vertical="center"/>
    </xf>
    <xf numFmtId="0" fontId="22" fillId="8" borderId="0" xfId="0" applyFont="1" applyFill="1" applyAlignment="1">
      <alignment horizontal="left" vertical="center"/>
    </xf>
    <xf numFmtId="0" fontId="22" fillId="8" borderId="0" xfId="0" applyFont="1" applyFill="1" applyAlignment="1">
      <alignment horizontal="right" vertical="center" wrapText="1" indent="1"/>
    </xf>
    <xf numFmtId="3" fontId="22" fillId="8" borderId="0" xfId="0" applyNumberFormat="1" applyFont="1" applyFill="1" applyAlignment="1">
      <alignment horizontal="right" vertical="center" wrapText="1" indent="1"/>
    </xf>
    <xf numFmtId="171" fontId="0" fillId="0" borderId="0" xfId="0" applyNumberFormat="1"/>
    <xf numFmtId="170" fontId="1" fillId="0" borderId="1" xfId="0" applyNumberFormat="1" applyFont="1" applyBorder="1"/>
    <xf numFmtId="170" fontId="1" fillId="0" borderId="9" xfId="0" applyNumberFormat="1" applyFont="1" applyBorder="1"/>
    <xf numFmtId="10" fontId="6" fillId="0" borderId="6" xfId="0" applyNumberFormat="1" applyFont="1" applyBorder="1"/>
    <xf numFmtId="170" fontId="23" fillId="0" borderId="6" xfId="0" applyNumberFormat="1" applyFont="1" applyBorder="1"/>
    <xf numFmtId="10" fontId="0" fillId="0" borderId="6" xfId="0" applyNumberFormat="1" applyBorder="1"/>
    <xf numFmtId="10" fontId="1" fillId="0" borderId="9" xfId="0" applyNumberFormat="1" applyFont="1" applyBorder="1"/>
    <xf numFmtId="164" fontId="0" fillId="0" borderId="0" xfId="0" applyNumberFormat="1"/>
    <xf numFmtId="164" fontId="1" fillId="0" borderId="0" xfId="0" applyNumberFormat="1" applyFont="1"/>
    <xf numFmtId="164" fontId="1" fillId="0" borderId="9" xfId="0" applyNumberFormat="1" applyFont="1" applyBorder="1"/>
    <xf numFmtId="10" fontId="0" fillId="5" borderId="0" xfId="0" applyNumberFormat="1" applyFill="1"/>
    <xf numFmtId="173" fontId="9" fillId="2" borderId="0" xfId="0" applyNumberFormat="1" applyFont="1" applyFill="1"/>
    <xf numFmtId="174" fontId="9" fillId="2" borderId="0" xfId="0" applyNumberFormat="1" applyFont="1" applyFill="1"/>
    <xf numFmtId="164" fontId="0" fillId="0" borderId="6" xfId="0" applyNumberFormat="1" applyBorder="1"/>
    <xf numFmtId="0" fontId="6" fillId="0" borderId="6" xfId="0" applyFont="1" applyBorder="1"/>
    <xf numFmtId="164" fontId="0" fillId="4" borderId="6" xfId="0" applyNumberFormat="1" applyFill="1" applyBorder="1"/>
    <xf numFmtId="10" fontId="6" fillId="4" borderId="6" xfId="0" applyNumberFormat="1" applyFont="1" applyFill="1" applyBorder="1"/>
    <xf numFmtId="10" fontId="0" fillId="4" borderId="6" xfId="0" applyNumberFormat="1" applyFill="1" applyBorder="1"/>
    <xf numFmtId="0" fontId="0" fillId="4" borderId="6" xfId="0" applyFill="1" applyBorder="1"/>
    <xf numFmtId="0" fontId="0" fillId="4" borderId="0" xfId="0" applyFill="1"/>
    <xf numFmtId="172" fontId="0" fillId="0" borderId="6" xfId="0" applyNumberFormat="1" applyBorder="1"/>
    <xf numFmtId="0" fontId="1" fillId="4" borderId="9" xfId="0" applyFont="1" applyFill="1" applyBorder="1"/>
    <xf numFmtId="175" fontId="0" fillId="0" borderId="0" xfId="1" applyNumberFormat="1" applyFont="1" applyFill="1"/>
    <xf numFmtId="17" fontId="21" fillId="8" borderId="0" xfId="0" applyNumberFormat="1" applyFont="1" applyFill="1" applyAlignment="1">
      <alignment vertical="center"/>
    </xf>
    <xf numFmtId="17" fontId="21" fillId="8" borderId="0" xfId="0" applyNumberFormat="1" applyFont="1" applyFill="1" applyAlignment="1">
      <alignment horizontal="right" vertical="center" wrapText="1" indent="1"/>
    </xf>
    <xf numFmtId="4" fontId="0" fillId="0" borderId="0" xfId="0" applyNumberFormat="1"/>
    <xf numFmtId="164" fontId="14" fillId="0" borderId="0" xfId="3" applyNumberFormat="1" applyFont="1" applyBorder="1" applyAlignment="1" applyProtection="1">
      <alignment horizontal="center"/>
    </xf>
    <xf numFmtId="164" fontId="17" fillId="6" borderId="0" xfId="4" applyNumberFormat="1" applyFont="1" applyBorder="1" applyAlignment="1">
      <alignment horizontal="center"/>
    </xf>
  </cellXfs>
  <cellStyles count="8">
    <cellStyle name="Accent6 2" xfId="4"/>
    <cellStyle name="Comma 2" xfId="2"/>
    <cellStyle name="Hyperlink 2" xfId="3"/>
    <cellStyle name="Normal" xfId="0" builtinId="0"/>
    <cellStyle name="Normal 2" xfId="7"/>
    <cellStyle name="Normal 3" xfId="5"/>
    <cellStyle name="Percent" xfId="1" builtinId="5"/>
    <cellStyle name="Percent 3" xfId="6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95834</xdr:colOff>
      <xdr:row>0</xdr:row>
      <xdr:rowOff>40299</xdr:rowOff>
    </xdr:from>
    <xdr:to>
      <xdr:col>1</xdr:col>
      <xdr:colOff>1223224</xdr:colOff>
      <xdr:row>3</xdr:row>
      <xdr:rowOff>109967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11D0C1-5A5C-E3E8-0B7E-225C22F70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95834" y="40299"/>
          <a:ext cx="1253853" cy="6259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603834</xdr:colOff>
      <xdr:row>0</xdr:row>
      <xdr:rowOff>21249</xdr:rowOff>
    </xdr:from>
    <xdr:to>
      <xdr:col>2</xdr:col>
      <xdr:colOff>651724</xdr:colOff>
      <xdr:row>3</xdr:row>
      <xdr:rowOff>90917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134DBE-65F7-4521-ADE0-0F4DE344DB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27584" y="21249"/>
          <a:ext cx="1257565" cy="6411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603834</xdr:colOff>
      <xdr:row>0</xdr:row>
      <xdr:rowOff>21249</xdr:rowOff>
    </xdr:from>
    <xdr:to>
      <xdr:col>3</xdr:col>
      <xdr:colOff>42124</xdr:colOff>
      <xdr:row>3</xdr:row>
      <xdr:rowOff>90917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5AECF4-06F6-45E6-B789-199784859A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30759" y="21249"/>
          <a:ext cx="1257565" cy="6411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603834</xdr:colOff>
      <xdr:row>0</xdr:row>
      <xdr:rowOff>21249</xdr:rowOff>
    </xdr:from>
    <xdr:to>
      <xdr:col>2</xdr:col>
      <xdr:colOff>648902</xdr:colOff>
      <xdr:row>3</xdr:row>
      <xdr:rowOff>90917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6991CA-8E01-475F-91DE-73B27ADC39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27584" y="21249"/>
          <a:ext cx="1257565" cy="641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creener.in/excel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showGridLines="0" topLeftCell="A25" zoomScaleNormal="100" workbookViewId="0">
      <selection activeCell="B14" sqref="B14"/>
    </sheetView>
  </sheetViews>
  <sheetFormatPr defaultRowHeight="15"/>
  <cols>
    <col min="1" max="1" width="1.85546875" customWidth="1"/>
    <col min="2" max="2" width="19.85546875" customWidth="1"/>
    <col min="3" max="3" width="10.28515625" bestFit="1" customWidth="1"/>
    <col min="4" max="4" width="10.140625" bestFit="1" customWidth="1"/>
    <col min="5" max="5" width="11.42578125" bestFit="1" customWidth="1"/>
    <col min="6" max="6" width="10.85546875" customWidth="1"/>
    <col min="7" max="9" width="9.28515625" customWidth="1"/>
    <col min="10" max="10" width="10.28515625" bestFit="1" customWidth="1"/>
    <col min="14" max="14" width="16.5703125" bestFit="1" customWidth="1"/>
    <col min="15" max="15" width="9.85546875" bestFit="1" customWidth="1"/>
    <col min="16" max="16" width="6.5703125" bestFit="1" customWidth="1"/>
  </cols>
  <sheetData>
    <row r="1" spans="2:10">
      <c r="B1" s="1"/>
      <c r="C1" s="1"/>
      <c r="D1" s="1"/>
      <c r="E1" s="1"/>
      <c r="F1" s="1"/>
      <c r="G1" s="1"/>
      <c r="H1" s="1"/>
      <c r="I1" s="1"/>
      <c r="J1" s="1"/>
    </row>
    <row r="2" spans="2:10">
      <c r="B2" s="1"/>
      <c r="C2" s="1"/>
      <c r="D2" s="1"/>
      <c r="E2" s="1"/>
      <c r="F2" s="1"/>
      <c r="G2" s="1"/>
      <c r="H2" s="1"/>
      <c r="I2" s="1"/>
      <c r="J2" s="1"/>
    </row>
    <row r="3" spans="2:10">
      <c r="B3" s="1"/>
      <c r="C3" s="1"/>
      <c r="D3" s="1"/>
      <c r="E3" s="1"/>
      <c r="F3" s="1"/>
      <c r="G3" s="1"/>
      <c r="H3" s="1"/>
      <c r="I3" s="1"/>
      <c r="J3" s="1"/>
    </row>
    <row r="4" spans="2:10">
      <c r="B4" s="1"/>
      <c r="C4" s="1"/>
      <c r="D4" s="1"/>
      <c r="E4" s="1"/>
      <c r="F4" s="1"/>
      <c r="G4" s="1"/>
      <c r="H4" s="1"/>
      <c r="I4" s="1"/>
      <c r="J4" s="1"/>
    </row>
    <row r="6" spans="2:10" ht="18.75">
      <c r="B6" s="5" t="s">
        <v>0</v>
      </c>
      <c r="C6" s="6"/>
      <c r="D6" s="6"/>
      <c r="E6" s="6"/>
      <c r="F6" s="7"/>
      <c r="G6" s="7"/>
      <c r="H6" s="7"/>
      <c r="I6" s="7"/>
      <c r="J6" s="7"/>
    </row>
    <row r="8" spans="2:10">
      <c r="B8" s="35" t="s">
        <v>1</v>
      </c>
    </row>
    <row r="10" spans="2:10">
      <c r="B10" s="2" t="s">
        <v>2</v>
      </c>
    </row>
    <row r="11" spans="2:10" ht="13.5" customHeight="1">
      <c r="B11" s="3"/>
      <c r="C11" s="3"/>
      <c r="D11" s="3"/>
      <c r="E11" s="3"/>
      <c r="F11" s="11"/>
      <c r="G11" s="11" t="s">
        <v>8</v>
      </c>
      <c r="H11" s="11" t="s">
        <v>8</v>
      </c>
      <c r="I11" s="11" t="s">
        <v>10</v>
      </c>
      <c r="J11" s="11" t="s">
        <v>13</v>
      </c>
    </row>
    <row r="12" spans="2:10" ht="18.75" customHeight="1">
      <c r="B12" s="4" t="s">
        <v>3</v>
      </c>
      <c r="C12" s="4" t="s">
        <v>4</v>
      </c>
      <c r="D12" s="12" t="s">
        <v>5</v>
      </c>
      <c r="E12" s="12" t="s">
        <v>6</v>
      </c>
      <c r="F12" s="12" t="s">
        <v>11</v>
      </c>
      <c r="G12" s="12" t="s">
        <v>9</v>
      </c>
      <c r="H12" s="12" t="s">
        <v>16</v>
      </c>
      <c r="I12" s="12" t="s">
        <v>12</v>
      </c>
      <c r="J12" s="12" t="s">
        <v>14</v>
      </c>
    </row>
    <row r="13" spans="2:10">
      <c r="B13" s="8"/>
      <c r="C13" s="8"/>
      <c r="D13" s="8"/>
      <c r="E13" s="8"/>
      <c r="F13" s="8"/>
      <c r="G13" s="8"/>
      <c r="H13" s="8"/>
      <c r="I13" s="8"/>
      <c r="J13" s="8"/>
    </row>
    <row r="14" spans="2:10">
      <c r="B14" s="10" t="str">
        <f>'Beta - Comps'!C7</f>
        <v>Asian Paints</v>
      </c>
      <c r="C14" s="10" t="s">
        <v>15</v>
      </c>
      <c r="D14" s="37">
        <f>'Beta - Comps'!D7</f>
        <v>2290.29</v>
      </c>
      <c r="E14" s="37">
        <f>'Beta - Comps'!E7</f>
        <v>218706.71</v>
      </c>
      <c r="F14" s="15">
        <v>0.25</v>
      </c>
      <c r="G14" s="23">
        <f>D14/E14</f>
        <v>1.0471969515704388E-2</v>
      </c>
      <c r="H14" s="23">
        <f>D14/(D14+E14)</f>
        <v>1.0363443847654041E-2</v>
      </c>
      <c r="I14" s="13">
        <v>0.8</v>
      </c>
      <c r="J14" s="24">
        <f>I14/(1+(1-F14)*G14)</f>
        <v>0.79376578169858247</v>
      </c>
    </row>
    <row r="15" spans="2:10">
      <c r="B15" s="10" t="str">
        <f>'Beta - Comps'!C8</f>
        <v>Berger Paints</v>
      </c>
      <c r="C15" s="10" t="s">
        <v>15</v>
      </c>
      <c r="D15" s="37">
        <f>'Beta - Comps'!D8</f>
        <v>670.27</v>
      </c>
      <c r="E15" s="37">
        <f>'Beta - Comps'!E8</f>
        <v>64404.03</v>
      </c>
      <c r="F15" s="15">
        <v>0.25</v>
      </c>
      <c r="G15" s="23">
        <f t="shared" ref="G15:G18" si="0">D15/E15</f>
        <v>1.040726799239116E-2</v>
      </c>
      <c r="H15" s="23">
        <f t="shared" ref="H15:H18" si="1">D15/(D15+E15)</f>
        <v>1.0300072378803921E-2</v>
      </c>
      <c r="I15" s="13">
        <v>0.81</v>
      </c>
      <c r="J15" s="24">
        <f t="shared" ref="J15:J18" si="2">I15/(1+(1-F15)*G15)</f>
        <v>0.80372655178721264</v>
      </c>
    </row>
    <row r="16" spans="2:10">
      <c r="B16" s="10" t="str">
        <f>'Beta - Comps'!C9</f>
        <v>Kansai Nerolac</v>
      </c>
      <c r="C16" s="10" t="s">
        <v>15</v>
      </c>
      <c r="D16" s="37">
        <f>'Beta - Comps'!D9</f>
        <v>296.39</v>
      </c>
      <c r="E16" s="37">
        <f>'Beta - Comps'!E9</f>
        <v>19589.740000000002</v>
      </c>
      <c r="F16" s="15">
        <v>0.25</v>
      </c>
      <c r="G16" s="23">
        <f t="shared" si="0"/>
        <v>1.512985879342962E-2</v>
      </c>
      <c r="H16" s="23">
        <f t="shared" si="1"/>
        <v>1.4904357962056971E-2</v>
      </c>
      <c r="I16" s="13">
        <v>0.95</v>
      </c>
      <c r="J16" s="24">
        <f t="shared" si="2"/>
        <v>0.93934092829698324</v>
      </c>
    </row>
    <row r="17" spans="2:10">
      <c r="B17" s="10" t="str">
        <f>'Beta - Comps'!C10</f>
        <v>Akzo Nobel</v>
      </c>
      <c r="C17" s="10" t="s">
        <v>15</v>
      </c>
      <c r="D17" s="37">
        <f>'Beta - Comps'!D10</f>
        <v>62.1</v>
      </c>
      <c r="E17" s="37">
        <f>'Beta - Comps'!E10</f>
        <v>14753.7</v>
      </c>
      <c r="F17" s="15">
        <v>0.25</v>
      </c>
      <c r="G17" s="23">
        <f t="shared" si="0"/>
        <v>4.209113646068444E-3</v>
      </c>
      <c r="H17" s="23">
        <f t="shared" si="1"/>
        <v>4.1914712671607332E-3</v>
      </c>
      <c r="I17" s="13">
        <v>0.7</v>
      </c>
      <c r="J17" s="24">
        <f t="shared" si="2"/>
        <v>0.69779716930935409</v>
      </c>
    </row>
    <row r="18" spans="2:10">
      <c r="B18" s="10" t="str">
        <f>'Beta - Comps'!C11</f>
        <v>Indigo Paints</v>
      </c>
      <c r="C18" s="10" t="s">
        <v>15</v>
      </c>
      <c r="D18" s="37">
        <f>'Beta - Comps'!D11</f>
        <v>19.690000000000001</v>
      </c>
      <c r="E18" s="37">
        <f>'Beta - Comps'!E11</f>
        <v>5363.66</v>
      </c>
      <c r="F18" s="15">
        <v>0.25</v>
      </c>
      <c r="G18" s="23">
        <f t="shared" si="0"/>
        <v>3.6710007718610059E-3</v>
      </c>
      <c r="H18" s="23">
        <f t="shared" si="1"/>
        <v>3.6575738155609433E-3</v>
      </c>
      <c r="I18" s="13">
        <v>0.7</v>
      </c>
      <c r="J18" s="24">
        <f t="shared" si="2"/>
        <v>0.69807801629751431</v>
      </c>
    </row>
    <row r="19" spans="2:10">
      <c r="F19" s="16"/>
    </row>
    <row r="20" spans="2:10">
      <c r="E20" s="17" t="s">
        <v>7</v>
      </c>
      <c r="F20" s="18">
        <f>AVERAGE(F14:F18)</f>
        <v>0.25</v>
      </c>
      <c r="G20" s="18">
        <f t="shared" ref="G20:J20" si="3">AVERAGE(G14:G18)</f>
        <v>8.7778421438909245E-3</v>
      </c>
      <c r="H20" s="18">
        <f t="shared" si="3"/>
        <v>8.6833838542473216E-3</v>
      </c>
      <c r="I20" s="19">
        <f t="shared" si="3"/>
        <v>0.79200000000000004</v>
      </c>
      <c r="J20" s="19">
        <f t="shared" si="3"/>
        <v>0.78654168947792935</v>
      </c>
    </row>
    <row r="21" spans="2:10">
      <c r="E21" s="20" t="s">
        <v>17</v>
      </c>
      <c r="F21" s="21">
        <f>MEDIAN(F14:F18)</f>
        <v>0.25</v>
      </c>
      <c r="G21" s="21">
        <f t="shared" ref="G21:J21" si="4">MEDIAN(G14:G18)</f>
        <v>1.040726799239116E-2</v>
      </c>
      <c r="H21" s="21">
        <f t="shared" si="4"/>
        <v>1.0300072378803921E-2</v>
      </c>
      <c r="I21" s="22">
        <f t="shared" si="4"/>
        <v>0.8</v>
      </c>
      <c r="J21" s="22">
        <f t="shared" si="4"/>
        <v>0.79376578169858247</v>
      </c>
    </row>
    <row r="22" spans="2:10">
      <c r="G22" s="9"/>
    </row>
    <row r="23" spans="2:10">
      <c r="G23" s="9"/>
    </row>
    <row r="24" spans="2:10">
      <c r="B24" s="20" t="s">
        <v>29</v>
      </c>
      <c r="C24" s="25"/>
      <c r="D24" s="25"/>
      <c r="E24" s="25"/>
      <c r="G24" s="20" t="s">
        <v>23</v>
      </c>
      <c r="H24" s="25"/>
      <c r="I24" s="25"/>
      <c r="J24" s="25"/>
    </row>
    <row r="25" spans="2:10">
      <c r="B25" s="9"/>
      <c r="G25" s="9"/>
    </row>
    <row r="26" spans="2:10">
      <c r="B26" t="s">
        <v>30</v>
      </c>
      <c r="E26" s="39">
        <f>227.02/2290.29</f>
        <v>9.9122818507699897E-2</v>
      </c>
      <c r="G26" t="s">
        <v>24</v>
      </c>
      <c r="J26" s="43">
        <v>6.3E-2</v>
      </c>
    </row>
    <row r="27" spans="2:10">
      <c r="B27" t="s">
        <v>31</v>
      </c>
      <c r="E27" s="16">
        <f>F21</f>
        <v>0.25</v>
      </c>
      <c r="G27" t="s">
        <v>25</v>
      </c>
      <c r="J27" s="42">
        <f>(11.42-J26)/100</f>
        <v>0.11356999999999999</v>
      </c>
    </row>
    <row r="28" spans="2:10" ht="15.75" customHeight="1">
      <c r="B28" s="27" t="s">
        <v>32</v>
      </c>
      <c r="C28" s="27"/>
      <c r="D28" s="27"/>
      <c r="E28" s="31">
        <f>E26*(1-E27)</f>
        <v>7.4342113880774927E-2</v>
      </c>
      <c r="G28" t="s">
        <v>28</v>
      </c>
      <c r="J28" s="44">
        <f>J37</f>
        <v>0.79898049276611238</v>
      </c>
    </row>
    <row r="29" spans="2:10">
      <c r="G29" s="27" t="s">
        <v>23</v>
      </c>
      <c r="H29" s="27"/>
      <c r="I29" s="27"/>
      <c r="J29" s="45">
        <f>J26+(J27*J28)</f>
        <v>0.15374021456344739</v>
      </c>
    </row>
    <row r="32" spans="2:10">
      <c r="B32" s="20" t="s">
        <v>18</v>
      </c>
      <c r="C32" s="25"/>
      <c r="D32" s="25"/>
      <c r="E32" s="25"/>
      <c r="G32" s="20" t="s">
        <v>33</v>
      </c>
      <c r="H32" s="25"/>
      <c r="I32" s="25"/>
      <c r="J32" s="25"/>
    </row>
    <row r="33" spans="1:10">
      <c r="G33" s="2"/>
    </row>
    <row r="34" spans="1:10">
      <c r="D34" s="26" t="s">
        <v>21</v>
      </c>
      <c r="E34" s="26" t="s">
        <v>22</v>
      </c>
      <c r="G34" s="9" t="s">
        <v>34</v>
      </c>
      <c r="J34" s="9">
        <f>J21</f>
        <v>0.79376578169858247</v>
      </c>
    </row>
    <row r="35" spans="1:10">
      <c r="B35" t="s">
        <v>5</v>
      </c>
      <c r="C35" s="37">
        <f>D14</f>
        <v>2290.29</v>
      </c>
      <c r="D35" s="14">
        <f>C35/$C$37</f>
        <v>1.0363443847654041E-2</v>
      </c>
      <c r="E35" s="32">
        <f>H20</f>
        <v>8.6833838542473216E-3</v>
      </c>
      <c r="G35" t="s">
        <v>35</v>
      </c>
      <c r="J35" s="33">
        <f>E39</f>
        <v>8.7594454817154083E-3</v>
      </c>
    </row>
    <row r="36" spans="1:10">
      <c r="B36" t="s">
        <v>19</v>
      </c>
      <c r="C36" s="37">
        <f>E14</f>
        <v>218706.71</v>
      </c>
      <c r="D36" s="14">
        <f>C36/$C$37</f>
        <v>0.98963655615234591</v>
      </c>
      <c r="E36" s="16">
        <f>E37-E35</f>
        <v>0.99131661614575273</v>
      </c>
      <c r="G36" t="s">
        <v>31</v>
      </c>
      <c r="J36" s="16">
        <f>E27</f>
        <v>0.25</v>
      </c>
    </row>
    <row r="37" spans="1:10">
      <c r="B37" t="s">
        <v>20</v>
      </c>
      <c r="C37" s="27">
        <f>SUM(C35:C36)</f>
        <v>220997</v>
      </c>
      <c r="D37" s="28">
        <f>C37/$C$37</f>
        <v>1</v>
      </c>
      <c r="E37" s="29">
        <f>D37</f>
        <v>1</v>
      </c>
      <c r="G37" s="27" t="s">
        <v>26</v>
      </c>
      <c r="H37" s="27"/>
      <c r="I37" s="27"/>
      <c r="J37" s="34">
        <f>J34*(1+(1-J36)*J35)</f>
        <v>0.79898049276611238</v>
      </c>
    </row>
    <row r="39" spans="1:10">
      <c r="B39" t="s">
        <v>27</v>
      </c>
      <c r="D39" s="30">
        <f>D35/D36</f>
        <v>1.0471969515704388E-2</v>
      </c>
      <c r="E39" s="30">
        <f>E35/E36</f>
        <v>8.7594454817154083E-3</v>
      </c>
      <c r="G39" s="20" t="s">
        <v>0</v>
      </c>
      <c r="H39" s="25"/>
      <c r="I39" s="25"/>
      <c r="J39" s="25"/>
    </row>
    <row r="40" spans="1:10">
      <c r="G40" s="9"/>
    </row>
    <row r="41" spans="1:10">
      <c r="B41" s="36" t="s">
        <v>36</v>
      </c>
      <c r="G41" t="s">
        <v>23</v>
      </c>
      <c r="J41" s="46">
        <f>J29</f>
        <v>0.15374021456344739</v>
      </c>
    </row>
    <row r="42" spans="1:10">
      <c r="B42" s="36" t="s">
        <v>37</v>
      </c>
      <c r="G42" t="s">
        <v>43</v>
      </c>
      <c r="J42" s="16">
        <f>E36</f>
        <v>0.99131661614575273</v>
      </c>
    </row>
    <row r="43" spans="1:10">
      <c r="A43" t="s">
        <v>38</v>
      </c>
      <c r="B43" s="36" t="s">
        <v>39</v>
      </c>
      <c r="J43" s="46"/>
    </row>
    <row r="44" spans="1:10">
      <c r="B44" s="36" t="s">
        <v>204</v>
      </c>
      <c r="G44" t="s">
        <v>29</v>
      </c>
      <c r="J44" s="16">
        <f>E28</f>
        <v>7.4342113880774927E-2</v>
      </c>
    </row>
    <row r="45" spans="1:10">
      <c r="G45" t="s">
        <v>44</v>
      </c>
      <c r="J45" s="16">
        <f>E35</f>
        <v>8.6833838542473216E-3</v>
      </c>
    </row>
    <row r="47" spans="1:10">
      <c r="G47" s="47" t="s">
        <v>45</v>
      </c>
      <c r="H47" s="47"/>
      <c r="I47" s="47"/>
      <c r="J47" s="48">
        <f>(J41*J42)+(J44*J45)</f>
        <v>0.15305077037792159</v>
      </c>
    </row>
  </sheetData>
  <pageMargins left="0.7" right="0.7" top="0.75" bottom="0.75" header="0.3" footer="0.3"/>
  <pageSetup scale="88" orientation="portrait" r:id="rId1"/>
  <customProperties>
    <customPr name="Gu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"/>
  <sheetViews>
    <sheetView workbookViewId="0">
      <selection activeCell="E13" sqref="E13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1"/>
  <sheetViews>
    <sheetView showGridLines="0" workbookViewId="0">
      <selection activeCell="G7" sqref="G7"/>
    </sheetView>
  </sheetViews>
  <sheetFormatPr defaultRowHeight="15"/>
  <cols>
    <col min="1" max="1" width="1.85546875" customWidth="1"/>
    <col min="3" max="3" width="16.140625" bestFit="1" customWidth="1"/>
    <col min="4" max="4" width="14.42578125" bestFit="1" customWidth="1"/>
    <col min="5" max="5" width="10.7109375" bestFit="1" customWidth="1"/>
    <col min="17" max="17" width="16.140625" bestFit="1" customWidth="1"/>
    <col min="18" max="18" width="8.28515625" bestFit="1" customWidth="1"/>
    <col min="19" max="19" width="14.42578125" bestFit="1" customWidth="1"/>
  </cols>
  <sheetData>
    <row r="1" spans="2:10">
      <c r="B1" s="1"/>
      <c r="C1" s="1"/>
      <c r="D1" s="1"/>
      <c r="E1" s="1"/>
      <c r="F1" s="1"/>
      <c r="G1" s="1"/>
      <c r="H1" s="1"/>
      <c r="I1" s="1"/>
      <c r="J1" s="1"/>
    </row>
    <row r="2" spans="2:10">
      <c r="B2" s="1"/>
      <c r="C2" s="1"/>
      <c r="D2" s="1"/>
      <c r="E2" s="1"/>
      <c r="F2" s="1"/>
      <c r="G2" s="1"/>
      <c r="H2" s="1"/>
      <c r="I2" s="1"/>
      <c r="J2" s="1"/>
    </row>
    <row r="3" spans="2:10">
      <c r="B3" s="1"/>
      <c r="C3" s="1"/>
      <c r="D3" s="1"/>
      <c r="E3" s="1"/>
      <c r="F3" s="1"/>
      <c r="G3" s="1"/>
      <c r="H3" s="1"/>
      <c r="I3" s="1"/>
      <c r="J3" s="1"/>
    </row>
    <row r="4" spans="2:10">
      <c r="B4" s="1"/>
      <c r="C4" s="1"/>
      <c r="D4" s="1"/>
      <c r="E4" s="1"/>
      <c r="F4" s="1"/>
      <c r="G4" s="1"/>
      <c r="H4" s="1"/>
      <c r="I4" s="1"/>
      <c r="J4" s="1"/>
    </row>
    <row r="6" spans="2:10">
      <c r="B6" t="s">
        <v>40</v>
      </c>
      <c r="C6" t="s">
        <v>3</v>
      </c>
      <c r="D6" t="s">
        <v>202</v>
      </c>
      <c r="E6" t="s">
        <v>203</v>
      </c>
      <c r="F6" t="s">
        <v>41</v>
      </c>
    </row>
    <row r="7" spans="2:10">
      <c r="B7">
        <v>1</v>
      </c>
      <c r="C7" t="s">
        <v>197</v>
      </c>
      <c r="D7">
        <v>2290.29</v>
      </c>
      <c r="E7">
        <v>218706.71</v>
      </c>
      <c r="F7" s="16">
        <f>D7/E7</f>
        <v>1.0471969515704388E-2</v>
      </c>
    </row>
    <row r="8" spans="2:10">
      <c r="B8">
        <v>2</v>
      </c>
      <c r="C8" t="s">
        <v>198</v>
      </c>
      <c r="D8">
        <v>670.27</v>
      </c>
      <c r="E8">
        <v>64404.03</v>
      </c>
      <c r="F8" s="16">
        <f t="shared" ref="F8:F11" si="0">D8/E8</f>
        <v>1.040726799239116E-2</v>
      </c>
    </row>
    <row r="9" spans="2:10">
      <c r="B9">
        <v>3</v>
      </c>
      <c r="C9" t="s">
        <v>199</v>
      </c>
      <c r="D9">
        <v>296.39</v>
      </c>
      <c r="E9">
        <v>19589.740000000002</v>
      </c>
      <c r="F9" s="16">
        <f t="shared" si="0"/>
        <v>1.512985879342962E-2</v>
      </c>
    </row>
    <row r="10" spans="2:10">
      <c r="B10">
        <v>4</v>
      </c>
      <c r="C10" t="s">
        <v>200</v>
      </c>
      <c r="D10">
        <v>62.1</v>
      </c>
      <c r="E10">
        <v>14753.7</v>
      </c>
      <c r="F10" s="16">
        <f t="shared" si="0"/>
        <v>4.209113646068444E-3</v>
      </c>
    </row>
    <row r="11" spans="2:10">
      <c r="B11">
        <v>5</v>
      </c>
      <c r="C11" t="s">
        <v>201</v>
      </c>
      <c r="D11">
        <v>19.690000000000001</v>
      </c>
      <c r="E11">
        <v>5363.66</v>
      </c>
      <c r="F11" s="16">
        <f t="shared" si="0"/>
        <v>3.6710007718610059E-3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showGridLines="0" workbookViewId="0">
      <pane ySplit="4" topLeftCell="A51" activePane="bottomLeft" state="frozen"/>
      <selection pane="bottomLeft" activeCell="B10" sqref="B10"/>
    </sheetView>
  </sheetViews>
  <sheetFormatPr defaultRowHeight="15"/>
  <cols>
    <col min="1" max="1" width="1.85546875" customWidth="1"/>
    <col min="7" max="7" width="11.5703125" bestFit="1" customWidth="1"/>
    <col min="8" max="8" width="8.5703125" bestFit="1" customWidth="1"/>
    <col min="9" max="9" width="12.140625" bestFit="1" customWidth="1"/>
    <col min="10" max="10" width="14.28515625" bestFit="1" customWidth="1"/>
    <col min="11" max="11" width="10.140625" bestFit="1" customWidth="1"/>
    <col min="13" max="13" width="21" bestFit="1" customWidth="1"/>
  </cols>
  <sheetData>
    <row r="1" spans="2:1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>
      <c r="B4" s="1"/>
      <c r="C4" s="1"/>
      <c r="D4" s="1"/>
      <c r="E4" s="1"/>
      <c r="F4" s="1"/>
      <c r="G4" s="1"/>
      <c r="H4" s="1"/>
      <c r="I4" s="1"/>
      <c r="J4" s="1"/>
      <c r="K4" s="1"/>
    </row>
    <row r="6" spans="2:11">
      <c r="B6" s="40" t="s">
        <v>135</v>
      </c>
      <c r="C6" s="41"/>
      <c r="D6" s="41"/>
      <c r="E6" s="41"/>
      <c r="F6" s="41"/>
      <c r="G6" s="62">
        <f>'Raw FS'!J$2</f>
        <v>44256</v>
      </c>
      <c r="H6" s="62">
        <f>'Raw FS'!K$2</f>
        <v>44621</v>
      </c>
      <c r="I6" s="62">
        <f>'Raw FS'!L$2</f>
        <v>44986</v>
      </c>
      <c r="J6" s="62">
        <f>'Raw FS'!M$2</f>
        <v>45352</v>
      </c>
      <c r="K6" s="62">
        <f>'Raw FS'!N$2</f>
        <v>45717</v>
      </c>
    </row>
    <row r="8" spans="2:11">
      <c r="B8" s="2" t="s">
        <v>136</v>
      </c>
    </row>
    <row r="9" spans="2:11">
      <c r="B9" s="66" t="str">
        <f>'Raw FS'!B35</f>
        <v>Inventories</v>
      </c>
      <c r="C9" s="66"/>
      <c r="D9" s="66"/>
      <c r="E9" s="66"/>
      <c r="F9" s="66"/>
      <c r="G9" s="67">
        <f>'Raw FS'!J35</f>
        <v>3799</v>
      </c>
      <c r="H9" s="67">
        <f>'Raw FS'!K35</f>
        <v>6153</v>
      </c>
      <c r="I9" s="67">
        <f>'Raw FS'!L35</f>
        <v>6211</v>
      </c>
      <c r="J9" s="67">
        <f>'Raw FS'!M35</f>
        <v>5923</v>
      </c>
      <c r="K9" s="67">
        <f>'Raw FS'!N35</f>
        <v>6719</v>
      </c>
    </row>
    <row r="10" spans="2:11">
      <c r="B10" s="66" t="str">
        <f>'Raw FS'!B36</f>
        <v>Trade receivables</v>
      </c>
      <c r="C10" s="66"/>
      <c r="D10" s="66"/>
      <c r="E10" s="66"/>
      <c r="F10" s="66"/>
      <c r="G10" s="67">
        <f>'Raw FS'!J36</f>
        <v>2602</v>
      </c>
      <c r="H10" s="67">
        <f>'Raw FS'!K36</f>
        <v>3871</v>
      </c>
      <c r="I10" s="67">
        <f>'Raw FS'!L36</f>
        <v>4637</v>
      </c>
      <c r="J10" s="67">
        <f>'Raw FS'!M36</f>
        <v>4889</v>
      </c>
      <c r="K10" s="67">
        <f>'Raw FS'!N36</f>
        <v>4314</v>
      </c>
    </row>
    <row r="11" spans="2:11">
      <c r="B11" s="66" t="str">
        <f>'Raw FS'!B38</f>
        <v>Loans n Advances</v>
      </c>
      <c r="C11" s="66"/>
      <c r="D11" s="66"/>
      <c r="E11" s="66"/>
      <c r="F11" s="66"/>
      <c r="G11" s="67">
        <f>'Raw FS'!J38</f>
        <v>11</v>
      </c>
      <c r="H11" s="67">
        <f>'Raw FS'!K38</f>
        <v>8</v>
      </c>
      <c r="I11" s="67">
        <f>'Raw FS'!L38</f>
        <v>12</v>
      </c>
      <c r="J11" s="67">
        <f>'Raw FS'!M38</f>
        <v>17</v>
      </c>
      <c r="K11" s="67">
        <f>'Raw FS'!N38</f>
        <v>22</v>
      </c>
    </row>
    <row r="12" spans="2:11">
      <c r="B12" t="str">
        <f>'Raw FS'!B39</f>
        <v>Other asset items</v>
      </c>
      <c r="G12" s="68">
        <f>'Raw FS'!J39</f>
        <v>2555</v>
      </c>
      <c r="H12" s="68">
        <f>'Raw FS'!K39</f>
        <v>2869</v>
      </c>
      <c r="I12" s="68">
        <f>'Raw FS'!L39</f>
        <v>3024</v>
      </c>
      <c r="J12" s="68">
        <f>'Raw FS'!M39</f>
        <v>3555</v>
      </c>
      <c r="K12" s="68">
        <f>'Raw FS'!N39</f>
        <v>3319</v>
      </c>
    </row>
    <row r="13" spans="2:11">
      <c r="B13" s="70" t="s">
        <v>64</v>
      </c>
      <c r="C13" s="3"/>
      <c r="D13" s="3"/>
      <c r="E13" s="3"/>
      <c r="F13" s="3"/>
      <c r="G13" s="85">
        <f>SUM(G9:G12)</f>
        <v>8967</v>
      </c>
      <c r="H13" s="85">
        <f t="shared" ref="H13:K13" si="0">SUM(H9:H12)</f>
        <v>12901</v>
      </c>
      <c r="I13" s="85">
        <f t="shared" si="0"/>
        <v>13884</v>
      </c>
      <c r="J13" s="85">
        <f t="shared" si="0"/>
        <v>14384</v>
      </c>
      <c r="K13" s="85">
        <f t="shared" si="0"/>
        <v>14374</v>
      </c>
    </row>
    <row r="14" spans="2:11">
      <c r="G14" s="68"/>
      <c r="H14" s="68"/>
      <c r="I14" s="68"/>
      <c r="J14" s="68"/>
      <c r="K14" s="68"/>
    </row>
    <row r="15" spans="2:11">
      <c r="B15" s="2" t="s">
        <v>137</v>
      </c>
      <c r="G15" s="68"/>
      <c r="H15" s="68"/>
      <c r="I15" s="68"/>
      <c r="J15" s="68"/>
      <c r="K15" s="68"/>
    </row>
    <row r="16" spans="2:11">
      <c r="B16" s="66" t="str">
        <f>'Raw FS'!B13</f>
        <v>Trade Payables</v>
      </c>
      <c r="C16" s="66"/>
      <c r="D16" s="66"/>
      <c r="E16" s="66"/>
      <c r="F16" s="66"/>
      <c r="G16" s="67">
        <f>'Raw FS'!J13</f>
        <v>3379</v>
      </c>
      <c r="H16" s="67">
        <f>'Raw FS'!K13</f>
        <v>4164</v>
      </c>
      <c r="I16" s="67">
        <f>'Raw FS'!L13</f>
        <v>3635</v>
      </c>
      <c r="J16" s="67">
        <f>'Raw FS'!M13</f>
        <v>3831</v>
      </c>
      <c r="K16" s="67">
        <f>'Raw FS'!N13</f>
        <v>3848</v>
      </c>
    </row>
    <row r="17" spans="1:11">
      <c r="B17" s="66" t="str">
        <f>'Raw FS'!B14</f>
        <v>Advance from Customers</v>
      </c>
      <c r="C17" s="66"/>
      <c r="D17" s="66"/>
      <c r="E17" s="66"/>
      <c r="F17" s="66"/>
      <c r="G17" s="67">
        <f>'Raw FS'!J14</f>
        <v>41</v>
      </c>
      <c r="H17" s="67">
        <f>'Raw FS'!K14</f>
        <v>76</v>
      </c>
      <c r="I17" s="67">
        <f>'Raw FS'!L14</f>
        <v>108</v>
      </c>
      <c r="J17" s="67">
        <f>'Raw FS'!M14</f>
        <v>154</v>
      </c>
      <c r="K17" s="67">
        <f>'Raw FS'!N14</f>
        <v>173</v>
      </c>
    </row>
    <row r="18" spans="1:11">
      <c r="B18" s="66" t="str">
        <f>'Raw FS'!B15</f>
        <v>Other liability items</v>
      </c>
      <c r="C18" s="66"/>
      <c r="D18" s="66"/>
      <c r="E18" s="66"/>
      <c r="F18" s="66"/>
      <c r="G18" s="67">
        <f>'Raw FS'!J15</f>
        <v>2613</v>
      </c>
      <c r="H18" s="67">
        <f>'Raw FS'!K15</f>
        <v>2932</v>
      </c>
      <c r="I18" s="67">
        <f>'Raw FS'!L15</f>
        <v>3657</v>
      </c>
      <c r="J18" s="67">
        <f>'Raw FS'!M15</f>
        <v>4017</v>
      </c>
      <c r="K18" s="67">
        <f>'Raw FS'!N15</f>
        <v>3985</v>
      </c>
    </row>
    <row r="19" spans="1:11">
      <c r="B19" s="70" t="s">
        <v>138</v>
      </c>
      <c r="C19" s="3"/>
      <c r="D19" s="3"/>
      <c r="E19" s="3"/>
      <c r="F19" s="3"/>
      <c r="G19" s="85">
        <f>SUM(G16:G18)</f>
        <v>6033</v>
      </c>
      <c r="H19" s="85">
        <f>SUM(H16:H18)</f>
        <v>7172</v>
      </c>
      <c r="I19" s="85">
        <f>SUM(I16:I18)</f>
        <v>7400</v>
      </c>
      <c r="J19" s="85">
        <f>SUM(J16:J18)</f>
        <v>8002</v>
      </c>
      <c r="K19" s="85">
        <f>SUM(K16:K18)</f>
        <v>8006</v>
      </c>
    </row>
    <row r="20" spans="1:11">
      <c r="G20" s="68"/>
      <c r="H20" s="68"/>
      <c r="I20" s="68"/>
      <c r="J20" s="68"/>
      <c r="K20" s="68"/>
    </row>
    <row r="21" spans="1:11" ht="15.75" thickBot="1">
      <c r="A21" t="s">
        <v>46</v>
      </c>
      <c r="B21" s="74" t="s">
        <v>139</v>
      </c>
      <c r="C21" s="74"/>
      <c r="D21" s="74"/>
      <c r="E21" s="74"/>
      <c r="F21" s="74"/>
      <c r="G21" s="86">
        <f>G13-G19</f>
        <v>2934</v>
      </c>
      <c r="H21" s="86">
        <f t="shared" ref="H21:K21" si="1">H13-H19</f>
        <v>5729</v>
      </c>
      <c r="I21" s="86">
        <f t="shared" si="1"/>
        <v>6484</v>
      </c>
      <c r="J21" s="86">
        <f t="shared" si="1"/>
        <v>6382</v>
      </c>
      <c r="K21" s="86">
        <f t="shared" si="1"/>
        <v>6368</v>
      </c>
    </row>
    <row r="22" spans="1:11">
      <c r="G22" s="68"/>
      <c r="H22" s="68"/>
      <c r="I22" s="68"/>
      <c r="J22" s="68"/>
      <c r="K22" s="68"/>
    </row>
    <row r="23" spans="1:11">
      <c r="B23" s="2" t="s">
        <v>140</v>
      </c>
      <c r="G23" s="68"/>
      <c r="H23" s="68"/>
      <c r="I23" s="68"/>
      <c r="J23" s="68"/>
      <c r="K23" s="68"/>
    </row>
    <row r="24" spans="1:11">
      <c r="B24" s="66" t="str">
        <f>'Raw FS'!B19</f>
        <v>Land</v>
      </c>
      <c r="C24" s="66"/>
      <c r="D24" s="66"/>
      <c r="E24" s="66"/>
      <c r="F24" s="66"/>
      <c r="G24" s="67">
        <f>'Raw FS'!J19</f>
        <v>644</v>
      </c>
      <c r="H24" s="67">
        <f>'Raw FS'!K19</f>
        <v>644</v>
      </c>
      <c r="I24" s="67">
        <f>'Raw FS'!L19</f>
        <v>804</v>
      </c>
      <c r="J24" s="67">
        <f>'Raw FS'!M19</f>
        <v>1126</v>
      </c>
      <c r="K24" s="67">
        <f>'Raw FS'!N19</f>
        <v>1050</v>
      </c>
    </row>
    <row r="25" spans="1:11">
      <c r="B25" s="66" t="str">
        <f>'Raw FS'!B20</f>
        <v>Building</v>
      </c>
      <c r="C25" s="66"/>
      <c r="D25" s="66"/>
      <c r="E25" s="66"/>
      <c r="F25" s="66"/>
      <c r="G25" s="67">
        <f>'Raw FS'!J20</f>
        <v>2249</v>
      </c>
      <c r="H25" s="67">
        <f>'Raw FS'!K20</f>
        <v>2325</v>
      </c>
      <c r="I25" s="67">
        <f>'Raw FS'!L20</f>
        <v>2883</v>
      </c>
      <c r="J25" s="67">
        <f>'Raw FS'!M20</f>
        <v>3390</v>
      </c>
      <c r="K25" s="67">
        <f>'Raw FS'!N20</f>
        <v>4136</v>
      </c>
    </row>
    <row r="26" spans="1:11">
      <c r="B26" s="66" t="str">
        <f>'Raw FS'!B21</f>
        <v>Plant Machinery</v>
      </c>
      <c r="C26" s="66"/>
      <c r="D26" s="66"/>
      <c r="E26" s="66"/>
      <c r="F26" s="66"/>
      <c r="G26" s="67">
        <f>'Raw FS'!J21</f>
        <v>4340</v>
      </c>
      <c r="H26" s="67">
        <f>'Raw FS'!K21</f>
        <v>4531</v>
      </c>
      <c r="I26" s="67">
        <f>'Raw FS'!L21</f>
        <v>4825</v>
      </c>
      <c r="J26" s="67">
        <f>'Raw FS'!M21</f>
        <v>5422</v>
      </c>
      <c r="K26" s="67">
        <f>'Raw FS'!N21</f>
        <v>7576</v>
      </c>
    </row>
    <row r="27" spans="1:11">
      <c r="B27" s="66" t="str">
        <f>'Raw FS'!B22</f>
        <v>Equipments</v>
      </c>
      <c r="C27" s="66"/>
      <c r="D27" s="66"/>
      <c r="E27" s="66"/>
      <c r="F27" s="66"/>
      <c r="G27" s="67">
        <f>'Raw FS'!J22</f>
        <v>243</v>
      </c>
      <c r="H27" s="67">
        <f>'Raw FS'!K22</f>
        <v>253</v>
      </c>
      <c r="I27" s="67">
        <f>'Raw FS'!L22</f>
        <v>270</v>
      </c>
      <c r="J27" s="67">
        <f>'Raw FS'!M22</f>
        <v>298</v>
      </c>
      <c r="K27" s="67">
        <f>'Raw FS'!N22</f>
        <v>325</v>
      </c>
    </row>
    <row r="28" spans="1:11">
      <c r="B28" s="66" t="str">
        <f>'Raw FS'!B23</f>
        <v>Furniture n fittings</v>
      </c>
      <c r="C28" s="66"/>
      <c r="D28" s="66"/>
      <c r="E28" s="66"/>
      <c r="F28" s="66"/>
      <c r="G28" s="67">
        <f>'Raw FS'!J23</f>
        <v>99</v>
      </c>
      <c r="H28" s="67">
        <f>'Raw FS'!K23</f>
        <v>113</v>
      </c>
      <c r="I28" s="67">
        <f>'Raw FS'!L23</f>
        <v>146</v>
      </c>
      <c r="J28" s="67">
        <f>'Raw FS'!M23</f>
        <v>175</v>
      </c>
      <c r="K28" s="67">
        <f>'Raw FS'!N23</f>
        <v>203</v>
      </c>
    </row>
    <row r="29" spans="1:11">
      <c r="B29" s="66" t="str">
        <f>'Raw FS'!B24</f>
        <v>Vehicles</v>
      </c>
      <c r="C29" s="66"/>
      <c r="D29" s="66"/>
      <c r="E29" s="66"/>
      <c r="F29" s="66"/>
      <c r="G29" s="67">
        <f>'Raw FS'!J24</f>
        <v>38</v>
      </c>
      <c r="H29" s="67">
        <f>'Raw FS'!K24</f>
        <v>32</v>
      </c>
      <c r="I29" s="67">
        <f>'Raw FS'!L24</f>
        <v>36</v>
      </c>
      <c r="J29" s="67">
        <f>'Raw FS'!M24</f>
        <v>40</v>
      </c>
      <c r="K29" s="67">
        <f>'Raw FS'!N24</f>
        <v>39</v>
      </c>
    </row>
    <row r="30" spans="1:11">
      <c r="B30" s="66" t="str">
        <f>'Raw FS'!B25</f>
        <v>Intangible Assets</v>
      </c>
      <c r="C30" s="66"/>
      <c r="D30" s="66"/>
      <c r="E30" s="66"/>
      <c r="F30" s="66"/>
      <c r="G30" s="67">
        <f>'Raw FS'!J25</f>
        <v>476</v>
      </c>
      <c r="H30" s="67">
        <f>'Raw FS'!K25</f>
        <v>345</v>
      </c>
      <c r="I30" s="67">
        <f>'Raw FS'!L25</f>
        <v>422</v>
      </c>
      <c r="J30" s="67">
        <f>'Raw FS'!M25</f>
        <v>850</v>
      </c>
      <c r="K30" s="67">
        <f>'Raw FS'!N25</f>
        <v>827</v>
      </c>
    </row>
    <row r="31" spans="1:11">
      <c r="B31" s="66" t="str">
        <f>'Raw FS'!B26</f>
        <v>Other fixed assets</v>
      </c>
      <c r="C31" s="66"/>
      <c r="D31" s="66"/>
      <c r="E31" s="66"/>
      <c r="F31" s="66"/>
      <c r="G31" s="67">
        <f>'Raw FS'!J26</f>
        <v>302</v>
      </c>
      <c r="H31" s="67">
        <f>'Raw FS'!K26</f>
        <v>294</v>
      </c>
      <c r="I31" s="67">
        <f>'Raw FS'!L26</f>
        <v>289</v>
      </c>
      <c r="J31" s="67">
        <f>'Raw FS'!M26</f>
        <v>321</v>
      </c>
      <c r="K31" s="67">
        <f>'Raw FS'!N26</f>
        <v>328</v>
      </c>
    </row>
    <row r="32" spans="1:11" ht="5.25" customHeight="1">
      <c r="B32" s="66"/>
      <c r="C32" s="66"/>
      <c r="D32" s="66"/>
      <c r="E32" s="66"/>
      <c r="F32" s="66"/>
      <c r="G32" s="67"/>
      <c r="H32" s="67"/>
      <c r="I32" s="67"/>
      <c r="J32" s="67"/>
      <c r="K32" s="67"/>
    </row>
    <row r="33" spans="1:11">
      <c r="B33" s="70" t="s">
        <v>124</v>
      </c>
      <c r="C33" s="3"/>
      <c r="D33" s="3"/>
      <c r="E33" s="3"/>
      <c r="F33" s="3"/>
      <c r="G33" s="85">
        <f>SUM(G24:G32)</f>
        <v>8391</v>
      </c>
      <c r="H33" s="85">
        <f t="shared" ref="H33:K33" si="2">SUM(H24:H32)</f>
        <v>8537</v>
      </c>
      <c r="I33" s="85">
        <f t="shared" si="2"/>
        <v>9675</v>
      </c>
      <c r="J33" s="85">
        <f t="shared" si="2"/>
        <v>11622</v>
      </c>
      <c r="K33" s="85">
        <f t="shared" si="2"/>
        <v>14484</v>
      </c>
    </row>
    <row r="34" spans="1:11">
      <c r="B34" t="s">
        <v>125</v>
      </c>
      <c r="G34" s="68">
        <f>-'Raw FS'!J28</f>
        <v>-2533</v>
      </c>
      <c r="H34" s="68">
        <f>-'Raw FS'!K28</f>
        <v>-3019</v>
      </c>
      <c r="I34" s="68">
        <f>-'Raw FS'!L28</f>
        <v>-3814</v>
      </c>
      <c r="J34" s="68">
        <f>-'Raw FS'!M28</f>
        <v>-4381</v>
      </c>
      <c r="K34" s="68">
        <f>-'Raw FS'!N28</f>
        <v>-4945</v>
      </c>
    </row>
    <row r="35" spans="1:11" ht="15.75" thickBot="1">
      <c r="A35" t="s">
        <v>46</v>
      </c>
      <c r="B35" s="74" t="s">
        <v>141</v>
      </c>
      <c r="C35" s="74"/>
      <c r="D35" s="74"/>
      <c r="E35" s="74"/>
      <c r="F35" s="74"/>
      <c r="G35" s="86">
        <f>SUM(G33:G34)</f>
        <v>5858</v>
      </c>
      <c r="H35" s="86">
        <f t="shared" ref="H35:K35" si="3">SUM(H33:H34)</f>
        <v>5518</v>
      </c>
      <c r="I35" s="86">
        <f t="shared" si="3"/>
        <v>5861</v>
      </c>
      <c r="J35" s="86">
        <f t="shared" si="3"/>
        <v>7241</v>
      </c>
      <c r="K35" s="86">
        <f t="shared" si="3"/>
        <v>9539</v>
      </c>
    </row>
    <row r="36" spans="1:11">
      <c r="G36" s="68"/>
      <c r="H36" s="68"/>
      <c r="I36" s="68"/>
      <c r="J36" s="68"/>
      <c r="K36" s="68"/>
    </row>
    <row r="37" spans="1:11">
      <c r="A37" t="s">
        <v>46</v>
      </c>
      <c r="B37" s="2" t="s">
        <v>142</v>
      </c>
      <c r="C37" s="2"/>
      <c r="D37" s="2"/>
      <c r="E37" s="2"/>
      <c r="F37" s="2"/>
      <c r="G37" s="69">
        <f>G35+G21</f>
        <v>8792</v>
      </c>
      <c r="H37" s="69">
        <f t="shared" ref="H37:K37" si="4">H35+H21</f>
        <v>11247</v>
      </c>
      <c r="I37" s="69">
        <f t="shared" si="4"/>
        <v>12345</v>
      </c>
      <c r="J37" s="69">
        <f t="shared" si="4"/>
        <v>13623</v>
      </c>
      <c r="K37" s="69">
        <f t="shared" si="4"/>
        <v>15907</v>
      </c>
    </row>
    <row r="38" spans="1:11">
      <c r="B38" s="2" t="s">
        <v>143</v>
      </c>
      <c r="C38" s="2"/>
      <c r="D38" s="2"/>
      <c r="E38" s="2"/>
      <c r="F38" s="2"/>
      <c r="G38" s="69">
        <f>'Data Sheet'!G28+'Data Sheet'!G27</f>
        <v>4395.9800000000005</v>
      </c>
      <c r="H38" s="69">
        <f>'Data Sheet'!H28+'Data Sheet'!H27</f>
        <v>4283.13</v>
      </c>
      <c r="I38" s="69">
        <f>'Data Sheet'!I28+'Data Sheet'!I27</f>
        <v>5833.28</v>
      </c>
      <c r="J38" s="69">
        <f>'Data Sheet'!J28+'Data Sheet'!J27</f>
        <v>7552.9400000000005</v>
      </c>
      <c r="K38" s="69">
        <f>'Data Sheet'!K28+'Data Sheet'!K27</f>
        <v>5330.09</v>
      </c>
    </row>
    <row r="40" spans="1:11" ht="15.75" thickBot="1">
      <c r="A40" t="s">
        <v>46</v>
      </c>
      <c r="B40" s="74" t="s">
        <v>134</v>
      </c>
      <c r="C40" s="75"/>
      <c r="D40" s="75"/>
      <c r="E40" s="75"/>
      <c r="F40" s="75"/>
      <c r="G40" s="76">
        <f>G38/G37</f>
        <v>0.49999772520473162</v>
      </c>
      <c r="H40" s="76">
        <f t="shared" ref="H40:K40" si="5">H38/H37</f>
        <v>0.38082421979194453</v>
      </c>
      <c r="I40" s="76">
        <f t="shared" si="5"/>
        <v>0.47252166869177803</v>
      </c>
      <c r="J40" s="76">
        <f t="shared" si="5"/>
        <v>0.55442560375834993</v>
      </c>
      <c r="K40" s="76">
        <f t="shared" si="5"/>
        <v>0.33507826742943359</v>
      </c>
    </row>
    <row r="43" spans="1:11">
      <c r="A43" t="s">
        <v>46</v>
      </c>
      <c r="B43" s="40" t="s">
        <v>144</v>
      </c>
      <c r="C43" s="41"/>
      <c r="D43" s="41"/>
      <c r="E43" s="41"/>
      <c r="F43" s="41"/>
      <c r="G43" s="62">
        <f>'Raw FS'!J$2</f>
        <v>44256</v>
      </c>
      <c r="H43" s="62">
        <f>'Raw FS'!K$2</f>
        <v>44621</v>
      </c>
      <c r="I43" s="62">
        <f>'Raw FS'!L$2</f>
        <v>44986</v>
      </c>
      <c r="J43" s="62">
        <f>'Raw FS'!M$2</f>
        <v>45352</v>
      </c>
      <c r="K43" s="62">
        <f>'Raw FS'!N$2</f>
        <v>45717</v>
      </c>
    </row>
    <row r="45" spans="1:11">
      <c r="B45" s="66" t="s">
        <v>145</v>
      </c>
      <c r="C45" s="66"/>
      <c r="D45" s="66"/>
      <c r="E45" s="66"/>
      <c r="F45" s="66"/>
      <c r="G45" s="67">
        <f>-SUM('Raw FS'!J54:J55)</f>
        <v>254</v>
      </c>
      <c r="H45" s="67">
        <f>-SUM('Raw FS'!K54:K55)</f>
        <v>511</v>
      </c>
      <c r="I45" s="67">
        <f>-SUM('Raw FS'!L54:L55)</f>
        <v>1420</v>
      </c>
      <c r="J45" s="67">
        <f>-SUM('Raw FS'!M54:M55)</f>
        <v>2491</v>
      </c>
      <c r="K45" s="67">
        <f>-SUM('Raw FS'!N54:N55)</f>
        <v>1820</v>
      </c>
    </row>
    <row r="46" spans="1:11">
      <c r="B46" s="66" t="s">
        <v>166</v>
      </c>
      <c r="C46" s="66"/>
      <c r="D46" s="66"/>
      <c r="E46" s="66"/>
      <c r="F46" s="66"/>
      <c r="G46" s="67"/>
      <c r="H46" s="67">
        <f>H21-G21</f>
        <v>2795</v>
      </c>
      <c r="I46" s="67">
        <f t="shared" ref="I46:K46" si="6">I21-H21</f>
        <v>755</v>
      </c>
      <c r="J46" s="67">
        <f t="shared" si="6"/>
        <v>-102</v>
      </c>
      <c r="K46" s="67">
        <f t="shared" si="6"/>
        <v>-14</v>
      </c>
    </row>
    <row r="47" spans="1:11">
      <c r="B47" s="66"/>
      <c r="C47" s="66"/>
      <c r="D47" s="66"/>
      <c r="E47" s="66"/>
      <c r="F47" s="66"/>
      <c r="G47" s="67"/>
      <c r="H47" s="67"/>
      <c r="I47" s="67"/>
      <c r="J47" s="67"/>
      <c r="K47" s="67"/>
    </row>
    <row r="48" spans="1:11">
      <c r="B48" s="66" t="s">
        <v>143</v>
      </c>
      <c r="C48" s="66"/>
      <c r="D48" s="66"/>
      <c r="E48" s="66"/>
      <c r="F48" s="66"/>
      <c r="G48" s="67">
        <f>G38</f>
        <v>4395.9800000000005</v>
      </c>
      <c r="H48" s="67">
        <f t="shared" ref="H48:K48" si="7">H38</f>
        <v>4283.13</v>
      </c>
      <c r="I48" s="67">
        <f t="shared" si="7"/>
        <v>5833.28</v>
      </c>
      <c r="J48" s="67">
        <f t="shared" si="7"/>
        <v>7552.9400000000005</v>
      </c>
      <c r="K48" s="67">
        <f t="shared" si="7"/>
        <v>5330.09</v>
      </c>
    </row>
    <row r="49" spans="1:13">
      <c r="B49" s="66" t="s">
        <v>167</v>
      </c>
      <c r="C49" s="66"/>
      <c r="D49" s="66"/>
      <c r="E49" s="66"/>
      <c r="F49" s="66"/>
      <c r="G49" s="87">
        <v>0.25</v>
      </c>
      <c r="H49" s="87">
        <v>0.25</v>
      </c>
      <c r="I49" s="87">
        <v>0.25</v>
      </c>
      <c r="J49" s="87">
        <v>0.25</v>
      </c>
      <c r="K49" s="87">
        <v>0.25</v>
      </c>
    </row>
    <row r="50" spans="1:13">
      <c r="B50" s="66" t="s">
        <v>169</v>
      </c>
      <c r="C50" s="66"/>
      <c r="D50" s="66"/>
      <c r="E50" s="66"/>
      <c r="F50" s="66"/>
      <c r="G50" s="88">
        <f>G48*(1-G49)</f>
        <v>3296.9850000000006</v>
      </c>
      <c r="H50" s="88">
        <f t="shared" ref="H50:K50" si="8">H48*(1-H49)</f>
        <v>3212.3474999999999</v>
      </c>
      <c r="I50" s="88">
        <f t="shared" si="8"/>
        <v>4374.96</v>
      </c>
      <c r="J50" s="88">
        <f t="shared" si="8"/>
        <v>5664.7049999999999</v>
      </c>
      <c r="K50" s="88">
        <f t="shared" si="8"/>
        <v>3997.5675000000001</v>
      </c>
    </row>
    <row r="51" spans="1:13">
      <c r="B51" s="66"/>
      <c r="C51" s="66"/>
      <c r="D51" s="66"/>
      <c r="E51" s="66"/>
      <c r="F51" s="66"/>
      <c r="G51" s="67"/>
      <c r="H51" s="67"/>
      <c r="I51" s="67"/>
      <c r="J51" s="67"/>
      <c r="K51" s="67"/>
    </row>
    <row r="52" spans="1:13">
      <c r="B52" s="66" t="s">
        <v>168</v>
      </c>
      <c r="C52" s="66"/>
      <c r="D52" s="66"/>
      <c r="E52" s="66"/>
      <c r="F52" s="66"/>
      <c r="G52" s="67"/>
      <c r="H52" s="67">
        <f>SUM(H45:H46)</f>
        <v>3306</v>
      </c>
      <c r="I52" s="67">
        <f t="shared" ref="I52:K52" si="9">SUM(I45:I46)</f>
        <v>2175</v>
      </c>
      <c r="J52" s="67">
        <f t="shared" si="9"/>
        <v>2389</v>
      </c>
      <c r="K52" s="67">
        <f t="shared" si="9"/>
        <v>1806</v>
      </c>
    </row>
    <row r="53" spans="1:13" ht="3.75" customHeight="1">
      <c r="H53" s="61"/>
      <c r="I53" s="61"/>
      <c r="J53" s="61"/>
      <c r="K53" s="61"/>
    </row>
    <row r="54" spans="1:13" ht="15.75" thickBot="1">
      <c r="B54" s="74" t="s">
        <v>170</v>
      </c>
      <c r="C54" s="74"/>
      <c r="D54" s="74"/>
      <c r="E54" s="74"/>
      <c r="F54" s="74"/>
      <c r="G54" s="74"/>
      <c r="H54" s="76">
        <f>H52/H50</f>
        <v>1.0291539131429586</v>
      </c>
      <c r="I54" s="76">
        <f t="shared" ref="I54:K54" si="10">I52/I50</f>
        <v>0.49714740249053707</v>
      </c>
      <c r="J54" s="76">
        <f t="shared" si="10"/>
        <v>0.42173422976130265</v>
      </c>
      <c r="K54" s="76">
        <f t="shared" si="10"/>
        <v>0.45177473551103264</v>
      </c>
    </row>
    <row r="55" spans="1:13">
      <c r="H55" s="14"/>
      <c r="I55" s="14"/>
      <c r="J55" s="14"/>
      <c r="K55" s="14"/>
    </row>
    <row r="56" spans="1:13">
      <c r="J56" s="47" t="s">
        <v>171</v>
      </c>
      <c r="K56" s="48">
        <f>AVERAGE(H54:K54)</f>
        <v>0.59995257022645776</v>
      </c>
    </row>
    <row r="57" spans="1:13">
      <c r="J57" s="47" t="s">
        <v>172</v>
      </c>
      <c r="K57" s="48">
        <f>MEDIAN(H54:K54)</f>
        <v>0.47446106900078489</v>
      </c>
    </row>
    <row r="59" spans="1:13">
      <c r="A59" t="s">
        <v>46</v>
      </c>
      <c r="B59" s="40" t="s">
        <v>173</v>
      </c>
      <c r="C59" s="41"/>
      <c r="D59" s="41"/>
      <c r="E59" s="41"/>
      <c r="F59" s="41"/>
      <c r="G59" s="62">
        <f>'Raw FS'!J$2</f>
        <v>44256</v>
      </c>
      <c r="H59" s="62">
        <f>'Raw FS'!K$2</f>
        <v>44621</v>
      </c>
      <c r="I59" s="62">
        <f>'Raw FS'!L$2</f>
        <v>44986</v>
      </c>
      <c r="J59" s="62">
        <f>'Raw FS'!M$2</f>
        <v>45352</v>
      </c>
      <c r="K59" s="62">
        <f>'Raw FS'!N$2</f>
        <v>45717</v>
      </c>
    </row>
    <row r="61" spans="1:13">
      <c r="B61" s="66" t="s">
        <v>170</v>
      </c>
      <c r="C61" s="66"/>
      <c r="D61" s="66"/>
      <c r="E61" s="66"/>
      <c r="F61" s="66"/>
      <c r="G61" s="66"/>
      <c r="H61" s="89">
        <f>H54</f>
        <v>1.0291539131429586</v>
      </c>
      <c r="I61" s="89">
        <f t="shared" ref="I61:K61" si="11">I54</f>
        <v>0.49714740249053707</v>
      </c>
      <c r="J61" s="89">
        <f t="shared" si="11"/>
        <v>0.42173422976130265</v>
      </c>
      <c r="K61" s="89">
        <f t="shared" si="11"/>
        <v>0.45177473551103264</v>
      </c>
    </row>
    <row r="62" spans="1:13">
      <c r="B62" s="66" t="s">
        <v>134</v>
      </c>
      <c r="C62" s="66"/>
      <c r="D62" s="66"/>
      <c r="E62" s="66"/>
      <c r="F62" s="66"/>
      <c r="G62" s="66"/>
      <c r="H62" s="89">
        <f>H40</f>
        <v>0.38082421979194453</v>
      </c>
      <c r="I62" s="89">
        <f t="shared" ref="I62:K62" si="12">I40</f>
        <v>0.47252166869177803</v>
      </c>
      <c r="J62" s="89">
        <f t="shared" si="12"/>
        <v>0.55442560375834993</v>
      </c>
      <c r="K62" s="89">
        <f t="shared" si="12"/>
        <v>0.33507826742943359</v>
      </c>
    </row>
    <row r="63" spans="1:13" ht="4.5" customHeight="1"/>
    <row r="64" spans="1:13" ht="15.75" thickBot="1">
      <c r="B64" s="74" t="s">
        <v>174</v>
      </c>
      <c r="C64" s="74"/>
      <c r="D64" s="74"/>
      <c r="E64" s="74"/>
      <c r="F64" s="74"/>
      <c r="G64" s="74"/>
      <c r="H64" s="90">
        <f>H61*H62</f>
        <v>0.39192673601849382</v>
      </c>
      <c r="I64" s="90">
        <f t="shared" ref="I64:K64" si="13">I61*I62</f>
        <v>0.23491292021061158</v>
      </c>
      <c r="J64" s="90">
        <f>J61*J62</f>
        <v>0.23382025496097289</v>
      </c>
      <c r="K64" s="90">
        <f t="shared" si="13"/>
        <v>0.15137989564342741</v>
      </c>
      <c r="M64" s="84"/>
    </row>
    <row r="66" spans="10:11">
      <c r="J66" s="47" t="s">
        <v>171</v>
      </c>
      <c r="K66" s="48">
        <f>AVERAGE(H64:K64)</f>
        <v>0.25300995170837642</v>
      </c>
    </row>
    <row r="67" spans="10:11">
      <c r="J67" s="47" t="s">
        <v>172</v>
      </c>
      <c r="K67" s="48">
        <f>MEDIAN(H64:K64)</f>
        <v>0.23436658758579224</v>
      </c>
    </row>
  </sheetData>
  <pageMargins left="0.7" right="0.7" top="0.75" bottom="0.75" header="0.3" footer="0.3"/>
  <ignoredErrors>
    <ignoredError sqref="G45:K45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5"/>
  <sheetViews>
    <sheetView showGridLines="0" zoomScale="90" zoomScaleNormal="90" workbookViewId="0">
      <pane ySplit="4" topLeftCell="A5" activePane="bottomLeft" state="frozen"/>
      <selection pane="bottomLeft" activeCell="D18" sqref="D18"/>
    </sheetView>
  </sheetViews>
  <sheetFormatPr defaultRowHeight="15" outlineLevelRow="1"/>
  <cols>
    <col min="1" max="1" width="1.85546875" customWidth="1"/>
    <col min="3" max="3" width="16" customWidth="1"/>
    <col min="4" max="4" width="18.5703125" customWidth="1"/>
    <col min="5" max="5" width="10.5703125" bestFit="1" customWidth="1"/>
    <col min="6" max="6" width="9.42578125" bestFit="1" customWidth="1"/>
    <col min="7" max="7" width="12.140625" bestFit="1" customWidth="1"/>
    <col min="8" max="10" width="11" bestFit="1" customWidth="1"/>
  </cols>
  <sheetData>
    <row r="1" spans="2:10">
      <c r="B1" s="1"/>
      <c r="C1" s="1"/>
      <c r="D1" s="1"/>
      <c r="E1" s="1"/>
      <c r="F1" s="1"/>
      <c r="G1" s="1"/>
      <c r="H1" s="1"/>
      <c r="I1" s="1"/>
      <c r="J1" s="1"/>
    </row>
    <row r="2" spans="2:10">
      <c r="B2" s="1"/>
      <c r="C2" s="1"/>
      <c r="D2" s="1"/>
      <c r="E2" s="1"/>
      <c r="F2" s="1"/>
      <c r="G2" s="1"/>
      <c r="H2" s="1"/>
      <c r="I2" s="1"/>
      <c r="J2" s="1"/>
    </row>
    <row r="3" spans="2:10">
      <c r="B3" s="1"/>
      <c r="C3" s="1"/>
      <c r="D3" s="1"/>
      <c r="E3" s="1"/>
      <c r="F3" s="1"/>
      <c r="G3" s="1"/>
      <c r="H3" s="1"/>
      <c r="I3" s="1"/>
      <c r="J3" s="1"/>
    </row>
    <row r="4" spans="2:10">
      <c r="B4" s="1"/>
      <c r="C4" s="1"/>
      <c r="D4" s="1"/>
      <c r="E4" s="1"/>
      <c r="F4" s="1"/>
      <c r="G4" s="1"/>
      <c r="H4" s="1"/>
      <c r="I4" s="1"/>
      <c r="J4" s="1"/>
    </row>
    <row r="6" spans="2:10">
      <c r="B6" s="40" t="s">
        <v>182</v>
      </c>
      <c r="C6" s="1"/>
      <c r="D6" s="1"/>
      <c r="E6" s="95">
        <f>'Intrisic Growth'!K6</f>
        <v>45717</v>
      </c>
      <c r="F6" s="96">
        <f>E6+365</f>
        <v>46082</v>
      </c>
      <c r="G6" s="96">
        <f>F6+366</f>
        <v>46448</v>
      </c>
      <c r="H6" s="96">
        <f t="shared" ref="H6:J6" si="0">G6+365</f>
        <v>46813</v>
      </c>
      <c r="I6" s="96">
        <f t="shared" si="0"/>
        <v>47178</v>
      </c>
      <c r="J6" s="96">
        <f t="shared" si="0"/>
        <v>47543</v>
      </c>
    </row>
    <row r="8" spans="2:10">
      <c r="B8" s="66" t="s">
        <v>143</v>
      </c>
      <c r="C8" s="66"/>
      <c r="D8" s="66"/>
      <c r="E8" s="99">
        <f>'Intrisic Growth'!K38</f>
        <v>5330.09</v>
      </c>
      <c r="F8" s="97">
        <f>E8*(1+$D$18)</f>
        <v>6579.2850048251557</v>
      </c>
      <c r="G8" s="97">
        <f>F8*(1+$D$18)</f>
        <v>8121.2495801604009</v>
      </c>
      <c r="H8" s="97">
        <f>G8*(1+$D$18)</f>
        <v>10024.599131195142</v>
      </c>
      <c r="I8" s="97">
        <f>H8*(1+$D$18)</f>
        <v>12374.030221488845</v>
      </c>
      <c r="J8" s="97">
        <f>I8*(1+$D$18)</f>
        <v>15274.089459182651</v>
      </c>
    </row>
    <row r="9" spans="2:10">
      <c r="B9" s="66" t="s">
        <v>31</v>
      </c>
      <c r="C9" s="66"/>
      <c r="D9" s="66"/>
      <c r="E9" s="100">
        <v>0.25</v>
      </c>
      <c r="F9" s="89">
        <f>E9</f>
        <v>0.25</v>
      </c>
      <c r="G9" s="89">
        <f t="shared" ref="G9:J9" si="1">F9</f>
        <v>0.25</v>
      </c>
      <c r="H9" s="89">
        <f t="shared" si="1"/>
        <v>0.25</v>
      </c>
      <c r="I9" s="89">
        <f t="shared" si="1"/>
        <v>0.25</v>
      </c>
      <c r="J9" s="89">
        <f t="shared" si="1"/>
        <v>0.25</v>
      </c>
    </row>
    <row r="10" spans="2:10">
      <c r="B10" s="66" t="s">
        <v>169</v>
      </c>
      <c r="C10" s="66"/>
      <c r="D10" s="66"/>
      <c r="E10" s="99">
        <f t="shared" ref="E10:J10" si="2">E8*(1-E9)</f>
        <v>3997.5675000000001</v>
      </c>
      <c r="F10" s="97">
        <f t="shared" si="2"/>
        <v>4934.4637536188666</v>
      </c>
      <c r="G10" s="97">
        <f t="shared" si="2"/>
        <v>6090.9371851203005</v>
      </c>
      <c r="H10" s="97">
        <f t="shared" si="2"/>
        <v>7518.4493483963561</v>
      </c>
      <c r="I10" s="97">
        <f t="shared" si="2"/>
        <v>9280.5226661166344</v>
      </c>
      <c r="J10" s="97">
        <f t="shared" si="2"/>
        <v>11455.567094386988</v>
      </c>
    </row>
    <row r="11" spans="2:10">
      <c r="B11" s="66" t="s">
        <v>175</v>
      </c>
      <c r="C11" s="66"/>
      <c r="D11" s="66"/>
      <c r="E11" s="101">
        <f>'Intrisic Growth'!K61</f>
        <v>0.45177473551103264</v>
      </c>
      <c r="F11" s="89">
        <f>E11+(($J$11-$E$11)/4)</f>
        <v>0.4616810516332745</v>
      </c>
      <c r="G11" s="89">
        <f>F11+(($J$11-$E$11)/4)</f>
        <v>0.47158736775551635</v>
      </c>
      <c r="H11" s="89">
        <f>G11+(($J$11-$E$11)/4)</f>
        <v>0.48149368387775821</v>
      </c>
      <c r="I11" s="89">
        <f>H11+(($J$11-$E$11)/4)</f>
        <v>0.49140000000000006</v>
      </c>
      <c r="J11" s="87">
        <v>0.4914</v>
      </c>
    </row>
    <row r="12" spans="2:10">
      <c r="B12" s="66" t="s">
        <v>189</v>
      </c>
      <c r="C12" s="66"/>
      <c r="D12" s="66"/>
      <c r="E12" s="99">
        <f t="shared" ref="E12:J12" si="3">E10*(1-E11)</f>
        <v>2191.5675000000001</v>
      </c>
      <c r="F12" s="97">
        <f t="shared" si="3"/>
        <v>2656.315338601833</v>
      </c>
      <c r="G12" s="97">
        <f t="shared" si="3"/>
        <v>3218.5281508252237</v>
      </c>
      <c r="H12" s="97">
        <f t="shared" si="3"/>
        <v>3898.3634745886643</v>
      </c>
      <c r="I12" s="97">
        <f t="shared" si="3"/>
        <v>4720.0738279869192</v>
      </c>
      <c r="J12" s="97">
        <f t="shared" si="3"/>
        <v>5826.3014242052213</v>
      </c>
    </row>
    <row r="13" spans="2:10">
      <c r="B13" s="66" t="s">
        <v>190</v>
      </c>
      <c r="C13" s="66"/>
      <c r="D13" s="66"/>
      <c r="E13" s="102"/>
      <c r="F13" s="98">
        <v>0.5</v>
      </c>
      <c r="G13" s="66">
        <f>+F13+1</f>
        <v>1.5</v>
      </c>
      <c r="H13" s="66">
        <f t="shared" ref="H13:J13" si="4">+G13+1</f>
        <v>2.5</v>
      </c>
      <c r="I13" s="66">
        <f t="shared" si="4"/>
        <v>3.5</v>
      </c>
      <c r="J13" s="66">
        <f t="shared" si="4"/>
        <v>4.5</v>
      </c>
    </row>
    <row r="14" spans="2:10">
      <c r="B14" s="66" t="s">
        <v>183</v>
      </c>
      <c r="C14" s="66"/>
      <c r="D14" s="66"/>
      <c r="E14" s="102"/>
      <c r="F14" s="104">
        <f>1/(1+$D$20)^F13</f>
        <v>0.93127036897626669</v>
      </c>
      <c r="G14" s="104">
        <f t="shared" ref="G14:J14" si="5">1/(1+$D$20)^G13</f>
        <v>0.80765773103905514</v>
      </c>
      <c r="H14" s="104">
        <f t="shared" si="5"/>
        <v>0.70045287838829406</v>
      </c>
      <c r="I14" s="104">
        <f t="shared" si="5"/>
        <v>0.60747791544227936</v>
      </c>
      <c r="J14" s="104">
        <f t="shared" si="5"/>
        <v>0.52684403067800178</v>
      </c>
    </row>
    <row r="15" spans="2:10" ht="4.5" customHeight="1">
      <c r="E15" s="103"/>
    </row>
    <row r="16" spans="2:10" ht="15.75" thickBot="1">
      <c r="B16" s="74" t="s">
        <v>184</v>
      </c>
      <c r="C16" s="74"/>
      <c r="D16" s="74"/>
      <c r="E16" s="105"/>
      <c r="F16" s="93">
        <f>F12*F14</f>
        <v>2473.7477654970457</v>
      </c>
      <c r="G16" s="93">
        <f t="shared" ref="G16:J16" si="6">G12*G14</f>
        <v>2599.4691435808259</v>
      </c>
      <c r="H16" s="93">
        <f t="shared" si="6"/>
        <v>2730.6199167794211</v>
      </c>
      <c r="I16" s="93">
        <f t="shared" si="6"/>
        <v>2867.3406097591537</v>
      </c>
      <c r="J16" s="93">
        <f t="shared" si="6"/>
        <v>3069.5521262732609</v>
      </c>
    </row>
    <row r="18" spans="2:4" outlineLevel="1">
      <c r="B18" s="38" t="s">
        <v>176</v>
      </c>
      <c r="C18" s="38"/>
      <c r="D18" s="94">
        <f>'Intrisic Growth'!K67</f>
        <v>0.23436658758579224</v>
      </c>
    </row>
    <row r="19" spans="2:4" outlineLevel="1">
      <c r="B19" s="38" t="s">
        <v>177</v>
      </c>
      <c r="C19" s="38"/>
      <c r="D19" s="94">
        <v>6.5000000000000002E-2</v>
      </c>
    </row>
    <row r="20" spans="2:4" outlineLevel="1">
      <c r="B20" s="38" t="s">
        <v>45</v>
      </c>
      <c r="C20" s="38"/>
      <c r="D20" s="94">
        <f>WACC!J47</f>
        <v>0.15305077037792159</v>
      </c>
    </row>
    <row r="22" spans="2:4">
      <c r="B22" s="40" t="s">
        <v>178</v>
      </c>
      <c r="C22" s="1"/>
      <c r="D22" s="1"/>
    </row>
    <row r="24" spans="2:4">
      <c r="B24" t="s">
        <v>179</v>
      </c>
      <c r="D24" s="91">
        <f>J12*(1+D18)</f>
        <v>7191.7918072424409</v>
      </c>
    </row>
    <row r="25" spans="2:4">
      <c r="B25" t="s">
        <v>45</v>
      </c>
      <c r="D25" s="16">
        <f>D20</f>
        <v>0.15305077037792159</v>
      </c>
    </row>
    <row r="26" spans="2:4">
      <c r="B26" t="s">
        <v>180</v>
      </c>
      <c r="D26" s="16">
        <f>D19</f>
        <v>6.5000000000000002E-2</v>
      </c>
    </row>
    <row r="27" spans="2:4" ht="4.5" customHeight="1"/>
    <row r="28" spans="2:4" ht="15.75" thickBot="1">
      <c r="B28" s="74" t="s">
        <v>181</v>
      </c>
      <c r="C28" s="74"/>
      <c r="D28" s="93">
        <f>D24/(D25-D26)</f>
        <v>81677.784037262172</v>
      </c>
    </row>
    <row r="31" spans="2:4">
      <c r="B31" s="40" t="s">
        <v>192</v>
      </c>
      <c r="C31" s="1"/>
      <c r="D31" s="1"/>
    </row>
    <row r="33" spans="2:4">
      <c r="B33" t="s">
        <v>184</v>
      </c>
      <c r="D33" s="91">
        <f>SUM(F16:J16)</f>
        <v>13740.729561889708</v>
      </c>
    </row>
    <row r="34" spans="2:4">
      <c r="B34" t="s">
        <v>185</v>
      </c>
      <c r="D34" s="91">
        <f>D28*J14</f>
        <v>43031.452959038557</v>
      </c>
    </row>
    <row r="35" spans="2:4">
      <c r="B35" s="2" t="s">
        <v>191</v>
      </c>
      <c r="C35" s="2"/>
      <c r="D35" s="92">
        <f>SUM(D33:D34)</f>
        <v>56772.182520928269</v>
      </c>
    </row>
    <row r="36" spans="2:4">
      <c r="D36" s="91"/>
    </row>
    <row r="37" spans="2:4">
      <c r="B37" t="s">
        <v>186</v>
      </c>
      <c r="D37" s="91">
        <f>'Raw FS'!N37</f>
        <v>782</v>
      </c>
    </row>
    <row r="38" spans="2:4">
      <c r="B38" t="s">
        <v>187</v>
      </c>
      <c r="D38" s="91">
        <f>SUM('Raw FS'!N7:N8)</f>
        <v>864</v>
      </c>
    </row>
    <row r="39" spans="2:4">
      <c r="B39" s="2" t="s">
        <v>188</v>
      </c>
      <c r="C39" s="2"/>
      <c r="D39" s="92">
        <f>D35+D37-D38</f>
        <v>56690.182520928269</v>
      </c>
    </row>
    <row r="40" spans="2:4">
      <c r="B40" t="s">
        <v>193</v>
      </c>
      <c r="C40" s="2"/>
      <c r="D40" s="91">
        <f>'Data Sheet'!B6</f>
        <v>95.919784899034241</v>
      </c>
    </row>
    <row r="41" spans="2:4" ht="4.5" customHeight="1"/>
    <row r="42" spans="2:4" ht="15.75" thickBot="1">
      <c r="B42" s="74" t="s">
        <v>194</v>
      </c>
      <c r="C42" s="74"/>
      <c r="D42" s="93">
        <f>D39/D40</f>
        <v>591.01657265600318</v>
      </c>
    </row>
    <row r="44" spans="2:4">
      <c r="B44" t="s">
        <v>195</v>
      </c>
      <c r="D44" s="109">
        <v>2275.6</v>
      </c>
    </row>
    <row r="45" spans="2:4">
      <c r="B45" t="s">
        <v>196</v>
      </c>
      <c r="D45" s="106">
        <f>D44/D42</f>
        <v>3.8503150423913679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"/>
  <sheetViews>
    <sheetView workbookViewId="0">
      <selection activeCell="K19" sqref="K19"/>
    </sheetView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G27" activeCellId="1" sqref="G28 G27"/>
    </sheetView>
  </sheetViews>
  <sheetFormatPr defaultColWidth="10.42578125" defaultRowHeight="12.75"/>
  <cols>
    <col min="1" max="1" width="26.7109375" style="52" bestFit="1" customWidth="1"/>
    <col min="2" max="11" width="11.42578125" style="52" bestFit="1" customWidth="1"/>
    <col min="12" max="16384" width="10.42578125" style="52"/>
  </cols>
  <sheetData>
    <row r="1" spans="1:11" s="51" customFormat="1">
      <c r="A1" s="51" t="s">
        <v>67</v>
      </c>
      <c r="B1" s="51" t="s">
        <v>68</v>
      </c>
      <c r="E1" s="110" t="str">
        <f>IF(B2&lt;&gt;B3, "A NEW VERSION OF THE WORKSHEET IS AVAILABLE", "")</f>
        <v/>
      </c>
      <c r="F1" s="110"/>
      <c r="G1" s="110"/>
      <c r="H1" s="110"/>
      <c r="I1" s="110"/>
      <c r="J1" s="110"/>
      <c r="K1" s="110"/>
    </row>
    <row r="2" spans="1:11">
      <c r="A2" s="51" t="s">
        <v>69</v>
      </c>
      <c r="B2" s="52">
        <v>2.1</v>
      </c>
      <c r="E2" s="111" t="s">
        <v>70</v>
      </c>
      <c r="F2" s="111"/>
      <c r="G2" s="111"/>
      <c r="H2" s="111"/>
      <c r="I2" s="111"/>
      <c r="J2" s="111"/>
      <c r="K2" s="111"/>
    </row>
    <row r="3" spans="1:11">
      <c r="A3" s="51" t="s">
        <v>71</v>
      </c>
      <c r="B3" s="52">
        <v>2.1</v>
      </c>
    </row>
    <row r="4" spans="1:11">
      <c r="A4" s="51"/>
    </row>
    <row r="5" spans="1:11">
      <c r="A5" s="51" t="s">
        <v>72</v>
      </c>
    </row>
    <row r="6" spans="1:11">
      <c r="A6" s="52" t="s">
        <v>73</v>
      </c>
      <c r="B6" s="52">
        <f>IF(B9&gt;0, B9/B8, 0)</f>
        <v>95.919784899034241</v>
      </c>
    </row>
    <row r="7" spans="1:11">
      <c r="A7" s="52" t="s">
        <v>74</v>
      </c>
      <c r="B7" s="53">
        <v>1</v>
      </c>
    </row>
    <row r="8" spans="1:11">
      <c r="A8" s="52" t="s">
        <v>75</v>
      </c>
      <c r="B8" s="53">
        <v>2278</v>
      </c>
    </row>
    <row r="9" spans="1:11">
      <c r="A9" s="52" t="s">
        <v>19</v>
      </c>
      <c r="B9" s="53">
        <v>218505.27</v>
      </c>
    </row>
    <row r="15" spans="1:11">
      <c r="A15" s="51" t="s">
        <v>76</v>
      </c>
      <c r="B15" s="52">
        <f>B26+B34</f>
        <v>3189.81</v>
      </c>
      <c r="K15" s="52">
        <f>K17-K18-K20-K21-K22-K23-K19</f>
        <v>6879.4100000000035</v>
      </c>
    </row>
    <row r="16" spans="1:11" s="56" customFormat="1">
      <c r="A16" s="54" t="s">
        <v>77</v>
      </c>
      <c r="B16" s="55">
        <v>42460</v>
      </c>
      <c r="C16" s="55">
        <v>42825</v>
      </c>
      <c r="D16" s="55">
        <v>43190</v>
      </c>
      <c r="E16" s="55">
        <v>43555</v>
      </c>
      <c r="F16" s="55">
        <v>43921</v>
      </c>
      <c r="G16" s="55">
        <v>44286</v>
      </c>
      <c r="H16" s="55">
        <v>44651</v>
      </c>
      <c r="I16" s="55">
        <v>45016</v>
      </c>
      <c r="J16" s="55">
        <v>45382</v>
      </c>
      <c r="K16" s="55">
        <v>45747</v>
      </c>
    </row>
    <row r="17" spans="1:11">
      <c r="A17" s="52" t="s">
        <v>47</v>
      </c>
      <c r="B17" s="53">
        <v>14271.49</v>
      </c>
      <c r="C17" s="53">
        <v>15061.99</v>
      </c>
      <c r="D17" s="53">
        <v>16824.55</v>
      </c>
      <c r="E17" s="53">
        <v>19240.13</v>
      </c>
      <c r="F17" s="53">
        <v>20211.25</v>
      </c>
      <c r="G17" s="53">
        <v>21712.79</v>
      </c>
      <c r="H17" s="53">
        <v>29101.279999999999</v>
      </c>
      <c r="I17" s="53">
        <v>34488.589999999997</v>
      </c>
      <c r="J17" s="53">
        <v>35494.730000000003</v>
      </c>
      <c r="K17" s="53">
        <v>33905.620000000003</v>
      </c>
    </row>
    <row r="18" spans="1:11" ht="15">
      <c r="A18" s="52" t="s">
        <v>78</v>
      </c>
      <c r="B18" s="57">
        <v>6569.83</v>
      </c>
      <c r="C18" s="57">
        <v>7452.6</v>
      </c>
      <c r="D18" s="57">
        <v>8128.17</v>
      </c>
      <c r="E18" s="57">
        <v>9974.4</v>
      </c>
      <c r="F18" s="57">
        <v>9981.99</v>
      </c>
      <c r="G18" s="57">
        <v>10425.549999999999</v>
      </c>
      <c r="H18" s="57">
        <v>17123.25</v>
      </c>
      <c r="I18" s="57">
        <v>18985.53</v>
      </c>
      <c r="J18" s="57">
        <v>17410.84</v>
      </c>
      <c r="K18" s="57">
        <v>17504.509999999998</v>
      </c>
    </row>
    <row r="19" spans="1:11" ht="15">
      <c r="A19" s="52" t="s">
        <v>79</v>
      </c>
      <c r="B19" s="57">
        <v>-199.33</v>
      </c>
      <c r="C19" s="57">
        <v>528.6</v>
      </c>
      <c r="D19" s="57">
        <v>-142.13</v>
      </c>
      <c r="E19" s="57">
        <v>293.26</v>
      </c>
      <c r="F19" s="57">
        <v>239.15</v>
      </c>
      <c r="G19" s="57">
        <v>92.45</v>
      </c>
      <c r="H19" s="57">
        <v>1324.97</v>
      </c>
      <c r="I19" s="57">
        <v>309.73</v>
      </c>
      <c r="J19" s="57">
        <v>-363.8</v>
      </c>
      <c r="K19" s="57">
        <v>205</v>
      </c>
    </row>
    <row r="20" spans="1:11">
      <c r="A20" s="52" t="s">
        <v>80</v>
      </c>
      <c r="B20" s="53">
        <v>114.48</v>
      </c>
      <c r="C20" s="53">
        <v>106.02</v>
      </c>
      <c r="D20" s="53">
        <v>110.3</v>
      </c>
      <c r="E20" s="53">
        <v>119.63</v>
      </c>
      <c r="F20" s="53">
        <v>97.79</v>
      </c>
      <c r="G20" s="53">
        <v>86.05</v>
      </c>
      <c r="H20" s="53">
        <v>117.23</v>
      </c>
      <c r="I20" s="53">
        <v>138.29</v>
      </c>
      <c r="J20" s="53">
        <v>133.25</v>
      </c>
      <c r="K20" s="53">
        <v>148.58000000000001</v>
      </c>
    </row>
    <row r="21" spans="1:11">
      <c r="A21" s="52" t="s">
        <v>81</v>
      </c>
      <c r="B21" s="53">
        <v>1535.22</v>
      </c>
      <c r="C21" s="53">
        <v>1662.75</v>
      </c>
      <c r="D21" s="53">
        <v>1691.68</v>
      </c>
      <c r="E21" s="53">
        <v>1862.35</v>
      </c>
      <c r="F21" s="53">
        <v>1946.12</v>
      </c>
      <c r="G21" s="53">
        <v>2068.31</v>
      </c>
      <c r="H21" s="53">
        <v>2880.45</v>
      </c>
      <c r="I21" s="53">
        <v>2916.2</v>
      </c>
      <c r="J21" s="53">
        <v>2767.18</v>
      </c>
      <c r="K21" s="53">
        <v>2687.4</v>
      </c>
    </row>
    <row r="22" spans="1:11">
      <c r="A22" s="52" t="s">
        <v>82</v>
      </c>
      <c r="B22" s="53">
        <v>994.98</v>
      </c>
      <c r="C22" s="53">
        <v>1039.8900000000001</v>
      </c>
      <c r="D22" s="53">
        <v>1121.8900000000001</v>
      </c>
      <c r="E22" s="53">
        <v>1242.69</v>
      </c>
      <c r="F22" s="53">
        <v>1371.27</v>
      </c>
      <c r="G22" s="53">
        <v>1547.61</v>
      </c>
      <c r="H22" s="53">
        <v>1794.61</v>
      </c>
      <c r="I22" s="53">
        <v>2036.41</v>
      </c>
      <c r="J22" s="53">
        <v>2334.92</v>
      </c>
      <c r="K22" s="53">
        <v>2605.7800000000002</v>
      </c>
    </row>
    <row r="23" spans="1:11">
      <c r="A23" s="52" t="s">
        <v>83</v>
      </c>
      <c r="B23" s="53">
        <v>3912.3</v>
      </c>
      <c r="C23" s="53">
        <v>4364.04</v>
      </c>
      <c r="D23" s="53">
        <v>2254.92</v>
      </c>
      <c r="E23" s="53">
        <v>2366.87</v>
      </c>
      <c r="F23" s="53">
        <v>2311.5100000000002</v>
      </c>
      <c r="G23" s="53">
        <v>2245.69</v>
      </c>
      <c r="H23" s="53">
        <v>2941.98</v>
      </c>
      <c r="I23" s="53">
        <v>3500.84</v>
      </c>
      <c r="J23" s="53">
        <v>3811.86</v>
      </c>
      <c r="K23" s="53">
        <v>3874.94</v>
      </c>
    </row>
    <row r="24" spans="1:11">
      <c r="A24" s="52" t="s">
        <v>84</v>
      </c>
      <c r="B24" s="53">
        <v>-1779.69</v>
      </c>
      <c r="C24" s="53">
        <v>-2028.47</v>
      </c>
      <c r="D24" s="53">
        <v>171.45</v>
      </c>
      <c r="E24" s="53">
        <v>202.51</v>
      </c>
      <c r="F24" s="53">
        <v>584.9</v>
      </c>
      <c r="G24" s="53">
        <v>576.42999999999995</v>
      </c>
      <c r="H24" s="53">
        <v>765.12</v>
      </c>
      <c r="I24" s="53">
        <v>961.21</v>
      </c>
      <c r="J24" s="53">
        <v>1087.9000000000001</v>
      </c>
      <c r="K24" s="53">
        <v>1283.2</v>
      </c>
    </row>
    <row r="25" spans="1:11">
      <c r="A25" s="52" t="s">
        <v>85</v>
      </c>
      <c r="B25" s="53">
        <v>213.39</v>
      </c>
      <c r="C25" s="53">
        <v>337.9</v>
      </c>
      <c r="D25" s="53">
        <v>336.41</v>
      </c>
      <c r="E25" s="53">
        <v>273.77</v>
      </c>
      <c r="F25" s="53">
        <v>355.05</v>
      </c>
      <c r="G25" s="53">
        <v>331.65</v>
      </c>
      <c r="H25" s="53">
        <v>295.88</v>
      </c>
      <c r="I25" s="53">
        <v>431.46</v>
      </c>
      <c r="J25" s="53">
        <v>820.96</v>
      </c>
      <c r="K25" s="53">
        <v>350.22</v>
      </c>
    </row>
    <row r="26" spans="1:11">
      <c r="A26" s="52" t="s">
        <v>50</v>
      </c>
      <c r="B26" s="53">
        <v>275.58</v>
      </c>
      <c r="C26" s="53">
        <v>334.79</v>
      </c>
      <c r="D26" s="53">
        <v>360.47</v>
      </c>
      <c r="E26" s="53">
        <v>622.14</v>
      </c>
      <c r="F26" s="53">
        <v>780.5</v>
      </c>
      <c r="G26" s="53">
        <v>791.27</v>
      </c>
      <c r="H26" s="53">
        <v>816.36</v>
      </c>
      <c r="I26" s="53">
        <v>858.02</v>
      </c>
      <c r="J26" s="53">
        <v>853</v>
      </c>
      <c r="K26" s="53">
        <v>1026.3399999999999</v>
      </c>
    </row>
    <row r="27" spans="1:11" ht="15">
      <c r="A27" s="52" t="s">
        <v>49</v>
      </c>
      <c r="B27" s="53">
        <v>49</v>
      </c>
      <c r="C27" s="53">
        <v>37.33</v>
      </c>
      <c r="D27" s="53">
        <v>41.47</v>
      </c>
      <c r="E27" s="53">
        <v>110.47</v>
      </c>
      <c r="F27" s="53">
        <v>102.33</v>
      </c>
      <c r="G27" s="53">
        <v>91.63</v>
      </c>
      <c r="H27" s="53">
        <v>95.41</v>
      </c>
      <c r="I27" s="53">
        <v>144.44999999999999</v>
      </c>
      <c r="J27" s="57">
        <v>205.17</v>
      </c>
      <c r="K27" s="57">
        <v>227.02</v>
      </c>
    </row>
    <row r="28" spans="1:11">
      <c r="A28" s="52" t="s">
        <v>86</v>
      </c>
      <c r="B28" s="53">
        <v>2613.85</v>
      </c>
      <c r="C28" s="53">
        <v>2959.54</v>
      </c>
      <c r="D28" s="53">
        <v>3138.48</v>
      </c>
      <c r="E28" s="53">
        <v>3306.1</v>
      </c>
      <c r="F28" s="53">
        <v>3629.04</v>
      </c>
      <c r="G28" s="53">
        <v>4304.3500000000004</v>
      </c>
      <c r="H28" s="53">
        <v>4187.72</v>
      </c>
      <c r="I28" s="53">
        <v>5688.83</v>
      </c>
      <c r="J28" s="53">
        <v>7347.77</v>
      </c>
      <c r="K28" s="53">
        <v>5103.07</v>
      </c>
    </row>
    <row r="29" spans="1:11">
      <c r="A29" s="52" t="s">
        <v>51</v>
      </c>
      <c r="B29" s="53">
        <v>844.49</v>
      </c>
      <c r="C29" s="53">
        <v>943.29</v>
      </c>
      <c r="D29" s="53">
        <v>1040.96</v>
      </c>
      <c r="E29" s="53">
        <v>1098.06</v>
      </c>
      <c r="F29" s="53">
        <v>854.85</v>
      </c>
      <c r="G29" s="53">
        <v>1097.5999999999999</v>
      </c>
      <c r="H29" s="53">
        <v>1102.9100000000001</v>
      </c>
      <c r="I29" s="53">
        <v>1493.5</v>
      </c>
      <c r="J29" s="53">
        <v>1790.08</v>
      </c>
      <c r="K29" s="53">
        <v>1393.36</v>
      </c>
    </row>
    <row r="30" spans="1:11">
      <c r="A30" s="52" t="s">
        <v>87</v>
      </c>
      <c r="B30" s="53">
        <v>1745.16</v>
      </c>
      <c r="C30" s="53">
        <v>1939.43</v>
      </c>
      <c r="D30" s="53">
        <v>2038.93</v>
      </c>
      <c r="E30" s="53">
        <v>2155.92</v>
      </c>
      <c r="F30" s="53">
        <v>2705.17</v>
      </c>
      <c r="G30" s="53">
        <v>3139.29</v>
      </c>
      <c r="H30" s="53">
        <v>3030.57</v>
      </c>
      <c r="I30" s="53">
        <v>4106.45</v>
      </c>
      <c r="J30" s="53">
        <v>5460.23</v>
      </c>
      <c r="K30" s="53">
        <v>3667.23</v>
      </c>
    </row>
    <row r="31" spans="1:11">
      <c r="A31" s="52" t="s">
        <v>88</v>
      </c>
      <c r="B31" s="53">
        <v>719.4</v>
      </c>
      <c r="C31" s="53">
        <v>987.98</v>
      </c>
      <c r="D31" s="53">
        <v>834.5</v>
      </c>
      <c r="E31" s="53">
        <v>1007.16</v>
      </c>
      <c r="F31" s="53">
        <v>1151.04</v>
      </c>
      <c r="G31" s="53">
        <v>1712.17</v>
      </c>
      <c r="H31" s="53">
        <v>1836.87</v>
      </c>
      <c r="I31" s="53">
        <v>2460.35</v>
      </c>
      <c r="J31" s="53">
        <v>3194.14</v>
      </c>
      <c r="K31" s="53">
        <v>2378.8200000000002</v>
      </c>
    </row>
    <row r="32" spans="1:11">
      <c r="A32" s="52" t="s">
        <v>52</v>
      </c>
      <c r="B32" s="58">
        <f>B29/B28</f>
        <v>0.32308280888344781</v>
      </c>
      <c r="C32" s="58">
        <f t="shared" ref="C32:K32" si="0">C29/C28</f>
        <v>0.31872858619920663</v>
      </c>
      <c r="D32" s="58">
        <f t="shared" si="0"/>
        <v>0.33167648033442942</v>
      </c>
      <c r="E32" s="58">
        <f t="shared" si="0"/>
        <v>0.3321315144732464</v>
      </c>
      <c r="F32" s="58">
        <f t="shared" si="0"/>
        <v>0.23555816414258318</v>
      </c>
      <c r="G32" s="58">
        <f t="shared" si="0"/>
        <v>0.25499785101118633</v>
      </c>
      <c r="H32" s="58">
        <f t="shared" si="0"/>
        <v>0.26336765590822692</v>
      </c>
      <c r="I32" s="58">
        <f t="shared" si="0"/>
        <v>0.26253201449155628</v>
      </c>
      <c r="J32" s="58">
        <f t="shared" si="0"/>
        <v>0.24362221463110573</v>
      </c>
      <c r="K32" s="58">
        <f t="shared" si="0"/>
        <v>0.27304348166887776</v>
      </c>
    </row>
    <row r="34" spans="1:11">
      <c r="A34" s="52" t="s">
        <v>48</v>
      </c>
      <c r="B34" s="52">
        <f>+B30+B29+B27+B26</f>
        <v>2914.23</v>
      </c>
      <c r="C34" s="52">
        <f t="shared" ref="C34:K34" si="1">+C30+C29+C27+C26</f>
        <v>3254.84</v>
      </c>
      <c r="D34" s="52">
        <f t="shared" si="1"/>
        <v>3481.83</v>
      </c>
      <c r="E34" s="52">
        <f t="shared" si="1"/>
        <v>3986.5899999999997</v>
      </c>
      <c r="F34" s="52">
        <f t="shared" si="1"/>
        <v>4442.8500000000004</v>
      </c>
      <c r="G34" s="52">
        <f t="shared" si="1"/>
        <v>5119.7899999999991</v>
      </c>
      <c r="H34" s="52">
        <f t="shared" si="1"/>
        <v>5045.25</v>
      </c>
      <c r="I34" s="52">
        <f t="shared" si="1"/>
        <v>6602.42</v>
      </c>
      <c r="J34" s="52">
        <f t="shared" si="1"/>
        <v>8308.48</v>
      </c>
      <c r="K34" s="52">
        <f t="shared" si="1"/>
        <v>6313.9500000000007</v>
      </c>
    </row>
    <row r="40" spans="1:11">
      <c r="A40" s="51" t="s">
        <v>89</v>
      </c>
    </row>
    <row r="41" spans="1:11" s="56" customFormat="1">
      <c r="A41" s="54" t="s">
        <v>77</v>
      </c>
      <c r="B41" s="55">
        <v>44926</v>
      </c>
      <c r="C41" s="55">
        <v>45016</v>
      </c>
      <c r="D41" s="55">
        <v>45107</v>
      </c>
      <c r="E41" s="55">
        <v>45199</v>
      </c>
      <c r="F41" s="55">
        <v>45291</v>
      </c>
      <c r="G41" s="55">
        <v>45382</v>
      </c>
      <c r="H41" s="55">
        <v>45473</v>
      </c>
      <c r="I41" s="55">
        <v>45565</v>
      </c>
      <c r="J41" s="55">
        <v>45657</v>
      </c>
      <c r="K41" s="55">
        <v>45747</v>
      </c>
    </row>
    <row r="42" spans="1:11">
      <c r="A42" s="52" t="s">
        <v>47</v>
      </c>
      <c r="B42" s="53">
        <v>8636.74</v>
      </c>
      <c r="C42" s="53">
        <v>8787.34</v>
      </c>
      <c r="D42" s="53">
        <v>9182.31</v>
      </c>
      <c r="E42" s="53">
        <v>8478.57</v>
      </c>
      <c r="F42" s="53">
        <v>9103.09</v>
      </c>
      <c r="G42" s="53">
        <v>8730.76</v>
      </c>
      <c r="H42" s="53">
        <v>8969.73</v>
      </c>
      <c r="I42" s="53">
        <v>8027.54</v>
      </c>
      <c r="J42" s="53">
        <v>8549.44</v>
      </c>
      <c r="K42" s="53">
        <v>8358.91</v>
      </c>
    </row>
    <row r="43" spans="1:11">
      <c r="A43" s="52" t="s">
        <v>90</v>
      </c>
      <c r="B43" s="53">
        <v>7025.31</v>
      </c>
      <c r="C43" s="53">
        <v>6922.58</v>
      </c>
      <c r="D43" s="53">
        <v>7061.02</v>
      </c>
      <c r="E43" s="53">
        <v>6762.34</v>
      </c>
      <c r="F43" s="53">
        <v>7047</v>
      </c>
      <c r="G43" s="53">
        <v>7039.39</v>
      </c>
      <c r="H43" s="53">
        <v>7275.96</v>
      </c>
      <c r="I43" s="53">
        <v>6788.03</v>
      </c>
      <c r="J43" s="53">
        <v>6912.71</v>
      </c>
      <c r="K43" s="53">
        <v>6922.71</v>
      </c>
    </row>
    <row r="44" spans="1:11">
      <c r="A44" s="52" t="s">
        <v>85</v>
      </c>
      <c r="B44" s="53">
        <v>122.21</v>
      </c>
      <c r="C44" s="53">
        <v>104.17</v>
      </c>
      <c r="D44" s="53">
        <v>227.74</v>
      </c>
      <c r="E44" s="53">
        <v>194.33</v>
      </c>
      <c r="F44" s="53">
        <v>186.46</v>
      </c>
      <c r="G44" s="53">
        <v>212.43</v>
      </c>
      <c r="H44" s="53">
        <v>192.93</v>
      </c>
      <c r="I44" s="53">
        <v>24.53</v>
      </c>
      <c r="J44" s="53">
        <v>192.82</v>
      </c>
      <c r="K44" s="53">
        <v>-60.06</v>
      </c>
    </row>
    <row r="45" spans="1:11">
      <c r="A45" s="52" t="s">
        <v>50</v>
      </c>
      <c r="B45" s="53">
        <v>214.05</v>
      </c>
      <c r="C45" s="53">
        <v>220.17</v>
      </c>
      <c r="D45" s="53">
        <v>198.32</v>
      </c>
      <c r="E45" s="53">
        <v>208.72</v>
      </c>
      <c r="F45" s="53">
        <v>220.35</v>
      </c>
      <c r="G45" s="53">
        <v>225.61</v>
      </c>
      <c r="H45" s="53">
        <v>227.7</v>
      </c>
      <c r="I45" s="53">
        <v>241.99</v>
      </c>
      <c r="J45" s="53">
        <v>255.55</v>
      </c>
      <c r="K45" s="53">
        <v>301.10000000000002</v>
      </c>
    </row>
    <row r="46" spans="1:11" ht="15">
      <c r="A46" s="52" t="s">
        <v>49</v>
      </c>
      <c r="B46" s="57">
        <v>41.39</v>
      </c>
      <c r="C46" s="57">
        <v>38.909999999999997</v>
      </c>
      <c r="D46" s="57">
        <v>45.75</v>
      </c>
      <c r="E46" s="57">
        <v>50.9</v>
      </c>
      <c r="F46" s="57">
        <v>54.42</v>
      </c>
      <c r="G46" s="57">
        <v>54.1</v>
      </c>
      <c r="H46" s="57">
        <v>55.38</v>
      </c>
      <c r="I46" s="57">
        <v>63.01</v>
      </c>
      <c r="J46" s="57">
        <v>55.84</v>
      </c>
      <c r="K46" s="57">
        <v>52.79</v>
      </c>
    </row>
    <row r="47" spans="1:11">
      <c r="A47" s="52" t="s">
        <v>86</v>
      </c>
      <c r="B47" s="53">
        <v>1478.2</v>
      </c>
      <c r="C47" s="53">
        <v>1709.85</v>
      </c>
      <c r="D47" s="53">
        <v>2104.96</v>
      </c>
      <c r="E47" s="53">
        <v>1650.94</v>
      </c>
      <c r="F47" s="53">
        <v>1967.78</v>
      </c>
      <c r="G47" s="53">
        <v>1624.09</v>
      </c>
      <c r="H47" s="53">
        <v>1603.62</v>
      </c>
      <c r="I47" s="53">
        <v>959.04</v>
      </c>
      <c r="J47" s="53">
        <v>1518.16</v>
      </c>
      <c r="K47" s="53">
        <v>1022.25</v>
      </c>
    </row>
    <row r="48" spans="1:11">
      <c r="A48" s="52" t="s">
        <v>51</v>
      </c>
      <c r="B48" s="53">
        <v>381.14</v>
      </c>
      <c r="C48" s="53">
        <v>451.44</v>
      </c>
      <c r="D48" s="53">
        <v>530.12</v>
      </c>
      <c r="E48" s="53">
        <v>418.55</v>
      </c>
      <c r="F48" s="53">
        <v>492.62</v>
      </c>
      <c r="G48" s="53">
        <v>348.79</v>
      </c>
      <c r="H48" s="53">
        <v>416.83</v>
      </c>
      <c r="I48" s="53">
        <v>265.38</v>
      </c>
      <c r="J48" s="53">
        <v>389.73</v>
      </c>
      <c r="K48" s="53">
        <v>321.42</v>
      </c>
    </row>
    <row r="49" spans="1:11">
      <c r="A49" s="52" t="s">
        <v>87</v>
      </c>
      <c r="B49" s="53">
        <v>1072.67</v>
      </c>
      <c r="C49" s="53">
        <v>1234.1400000000001</v>
      </c>
      <c r="D49" s="53">
        <v>1550.37</v>
      </c>
      <c r="E49" s="53">
        <v>1205.42</v>
      </c>
      <c r="F49" s="53">
        <v>1447.72</v>
      </c>
      <c r="G49" s="53">
        <v>1256.72</v>
      </c>
      <c r="H49" s="53">
        <v>1169.98</v>
      </c>
      <c r="I49" s="53">
        <v>694.64</v>
      </c>
      <c r="J49" s="53">
        <v>1110.48</v>
      </c>
      <c r="K49" s="53">
        <v>692.13</v>
      </c>
    </row>
    <row r="50" spans="1:11">
      <c r="A50" s="52" t="s">
        <v>91</v>
      </c>
      <c r="B50" s="53">
        <v>1611.43</v>
      </c>
      <c r="C50" s="53">
        <v>1864.76</v>
      </c>
      <c r="D50" s="53">
        <v>2121.29</v>
      </c>
      <c r="E50" s="53">
        <v>1716.23</v>
      </c>
      <c r="F50" s="53">
        <v>2056.09</v>
      </c>
      <c r="G50" s="53">
        <v>1691.37</v>
      </c>
      <c r="H50" s="53">
        <v>1693.77</v>
      </c>
      <c r="I50" s="53">
        <v>1239.51</v>
      </c>
      <c r="J50" s="53">
        <v>1636.73</v>
      </c>
      <c r="K50" s="53">
        <v>1436.2</v>
      </c>
    </row>
    <row r="51" spans="1:11">
      <c r="A51" s="52" t="s">
        <v>48</v>
      </c>
      <c r="B51" s="52">
        <f>B49+B48+B46+B45</f>
        <v>1709.25</v>
      </c>
      <c r="C51" s="52">
        <f t="shared" ref="C51:K51" si="2">C49+C48+C46+C45</f>
        <v>1944.6600000000003</v>
      </c>
      <c r="D51" s="52">
        <f t="shared" si="2"/>
        <v>2324.56</v>
      </c>
      <c r="E51" s="52">
        <f t="shared" si="2"/>
        <v>1883.5900000000001</v>
      </c>
      <c r="F51" s="52">
        <f t="shared" si="2"/>
        <v>2215.11</v>
      </c>
      <c r="G51" s="52">
        <f t="shared" si="2"/>
        <v>1885.2199999999998</v>
      </c>
      <c r="H51" s="52">
        <f t="shared" si="2"/>
        <v>1869.89</v>
      </c>
      <c r="I51" s="52">
        <f t="shared" si="2"/>
        <v>1265.02</v>
      </c>
      <c r="J51" s="52">
        <f t="shared" si="2"/>
        <v>1811.6</v>
      </c>
      <c r="K51" s="52">
        <f t="shared" si="2"/>
        <v>1367.44</v>
      </c>
    </row>
    <row r="55" spans="1:11">
      <c r="A55" s="51" t="s">
        <v>92</v>
      </c>
    </row>
    <row r="56" spans="1:11" s="56" customFormat="1">
      <c r="A56" s="54" t="s">
        <v>77</v>
      </c>
      <c r="B56" s="55">
        <v>42460</v>
      </c>
      <c r="C56" s="55">
        <v>42825</v>
      </c>
      <c r="D56" s="55">
        <v>43190</v>
      </c>
      <c r="E56" s="55">
        <v>43555</v>
      </c>
      <c r="F56" s="55">
        <v>43921</v>
      </c>
      <c r="G56" s="55">
        <v>44286</v>
      </c>
      <c r="H56" s="55">
        <v>44651</v>
      </c>
      <c r="I56" s="55">
        <v>45016</v>
      </c>
      <c r="J56" s="55">
        <v>45382</v>
      </c>
      <c r="K56" s="55">
        <v>45747</v>
      </c>
    </row>
    <row r="57" spans="1:11">
      <c r="A57" s="52" t="s">
        <v>53</v>
      </c>
      <c r="B57" s="53">
        <v>95.92</v>
      </c>
      <c r="C57" s="53">
        <v>95.92</v>
      </c>
      <c r="D57" s="53">
        <v>95.92</v>
      </c>
      <c r="E57" s="53">
        <v>95.92</v>
      </c>
      <c r="F57" s="53">
        <v>95.92</v>
      </c>
      <c r="G57" s="53">
        <v>95.92</v>
      </c>
      <c r="H57" s="53">
        <v>95.92</v>
      </c>
      <c r="I57" s="53">
        <v>95.92</v>
      </c>
      <c r="J57" s="53">
        <v>95.92</v>
      </c>
      <c r="K57" s="53">
        <v>95.92</v>
      </c>
    </row>
    <row r="58" spans="1:11">
      <c r="A58" s="52" t="s">
        <v>54</v>
      </c>
      <c r="B58" s="53">
        <v>6428.9</v>
      </c>
      <c r="C58" s="53">
        <v>7507.97</v>
      </c>
      <c r="D58" s="53">
        <v>8314.31</v>
      </c>
      <c r="E58" s="53">
        <v>9374.6299999999992</v>
      </c>
      <c r="F58" s="53">
        <v>10034.24</v>
      </c>
      <c r="G58" s="53">
        <v>12710.37</v>
      </c>
      <c r="H58" s="53">
        <v>13715.64</v>
      </c>
      <c r="I58" s="53">
        <v>15896.31</v>
      </c>
      <c r="J58" s="53">
        <v>18632.38</v>
      </c>
      <c r="K58" s="53">
        <v>19303.89</v>
      </c>
    </row>
    <row r="59" spans="1:11" ht="15">
      <c r="A59" s="52" t="s">
        <v>55</v>
      </c>
      <c r="B59" s="57">
        <v>323.29000000000002</v>
      </c>
      <c r="C59" s="57">
        <v>560.34</v>
      </c>
      <c r="D59" s="57">
        <v>533.42999999999995</v>
      </c>
      <c r="E59" s="57">
        <v>1319.6</v>
      </c>
      <c r="F59" s="57">
        <v>1118.5</v>
      </c>
      <c r="G59" s="57">
        <v>1093.1199999999999</v>
      </c>
      <c r="H59" s="57">
        <v>1586.88</v>
      </c>
      <c r="I59" s="57">
        <v>1932.62</v>
      </c>
      <c r="J59" s="57">
        <v>2474.38</v>
      </c>
      <c r="K59" s="57">
        <v>2290.29</v>
      </c>
    </row>
    <row r="60" spans="1:11">
      <c r="A60" s="52" t="s">
        <v>56</v>
      </c>
      <c r="B60" s="53">
        <v>3710.92</v>
      </c>
      <c r="C60" s="53">
        <v>4240.96</v>
      </c>
      <c r="D60" s="53">
        <v>4819.82</v>
      </c>
      <c r="E60" s="53">
        <v>5458.69</v>
      </c>
      <c r="F60" s="53">
        <v>4889.3100000000004</v>
      </c>
      <c r="G60" s="53">
        <v>6455.93</v>
      </c>
      <c r="H60" s="53">
        <v>7559.99</v>
      </c>
      <c r="I60" s="53">
        <v>7854.48</v>
      </c>
      <c r="J60" s="53">
        <v>8698.09</v>
      </c>
      <c r="K60" s="53">
        <v>8665.15</v>
      </c>
    </row>
    <row r="61" spans="1:11" s="51" customFormat="1">
      <c r="A61" s="51" t="s">
        <v>42</v>
      </c>
      <c r="B61" s="53">
        <v>10559.03</v>
      </c>
      <c r="C61" s="53">
        <v>12405.19</v>
      </c>
      <c r="D61" s="53">
        <v>13763.48</v>
      </c>
      <c r="E61" s="53">
        <v>16248.84</v>
      </c>
      <c r="F61" s="53">
        <v>16137.97</v>
      </c>
      <c r="G61" s="53">
        <v>20355.34</v>
      </c>
      <c r="H61" s="53">
        <v>22958.43</v>
      </c>
      <c r="I61" s="53">
        <v>25779.33</v>
      </c>
      <c r="J61" s="53">
        <v>29900.77</v>
      </c>
      <c r="K61" s="53">
        <v>30355.25</v>
      </c>
    </row>
    <row r="62" spans="1:11">
      <c r="A62" s="52" t="s">
        <v>93</v>
      </c>
      <c r="B62" s="53">
        <v>3416.35</v>
      </c>
      <c r="C62" s="53">
        <v>3303.74</v>
      </c>
      <c r="D62" s="53">
        <v>3732.24</v>
      </c>
      <c r="E62" s="53">
        <v>6496.56</v>
      </c>
      <c r="F62" s="53">
        <v>6272.31</v>
      </c>
      <c r="G62" s="53">
        <v>5858.52</v>
      </c>
      <c r="H62" s="53">
        <v>5519.06</v>
      </c>
      <c r="I62" s="53">
        <v>5770.46</v>
      </c>
      <c r="J62" s="53">
        <v>7146.62</v>
      </c>
      <c r="K62" s="53">
        <v>9220.1</v>
      </c>
    </row>
    <row r="63" spans="1:11">
      <c r="A63" s="52" t="s">
        <v>58</v>
      </c>
      <c r="B63" s="53">
        <v>106.59</v>
      </c>
      <c r="C63" s="53">
        <v>257.54000000000002</v>
      </c>
      <c r="D63" s="53">
        <v>1405.11</v>
      </c>
      <c r="E63" s="53">
        <v>209.67</v>
      </c>
      <c r="F63" s="53">
        <v>140.24</v>
      </c>
      <c r="G63" s="53">
        <v>182.98</v>
      </c>
      <c r="H63" s="53">
        <v>426.43</v>
      </c>
      <c r="I63" s="53">
        <v>1019.59</v>
      </c>
      <c r="J63" s="53">
        <v>2698.37</v>
      </c>
      <c r="K63" s="53">
        <v>1254.49</v>
      </c>
    </row>
    <row r="64" spans="1:11" ht="15">
      <c r="A64" s="52" t="s">
        <v>59</v>
      </c>
      <c r="B64" s="53">
        <v>2712.13</v>
      </c>
      <c r="C64" s="57">
        <v>2651.99</v>
      </c>
      <c r="D64" s="53">
        <v>2140.6999999999998</v>
      </c>
      <c r="E64" s="53">
        <v>2568.58</v>
      </c>
      <c r="F64" s="53">
        <v>2018.85</v>
      </c>
      <c r="G64" s="53">
        <v>4736.8</v>
      </c>
      <c r="H64" s="53">
        <v>3247.53</v>
      </c>
      <c r="I64" s="53">
        <v>4261.71</v>
      </c>
      <c r="J64" s="53">
        <v>4587.92</v>
      </c>
      <c r="K64" s="53">
        <v>4724.75</v>
      </c>
    </row>
    <row r="65" spans="1:11">
      <c r="A65" s="52" t="s">
        <v>60</v>
      </c>
      <c r="B65" s="53">
        <v>4323.96</v>
      </c>
      <c r="C65" s="53">
        <v>6191.92</v>
      </c>
      <c r="D65" s="53">
        <v>6485.43</v>
      </c>
      <c r="E65" s="53">
        <v>6974.03</v>
      </c>
      <c r="F65" s="53">
        <v>7706.57</v>
      </c>
      <c r="G65" s="53">
        <v>9577.0400000000009</v>
      </c>
      <c r="H65" s="53">
        <v>13765.41</v>
      </c>
      <c r="I65" s="53">
        <v>14727.57</v>
      </c>
      <c r="J65" s="53">
        <v>15467.86</v>
      </c>
      <c r="K65" s="53">
        <v>15155.91</v>
      </c>
    </row>
    <row r="66" spans="1:11" s="51" customFormat="1">
      <c r="A66" s="51" t="s">
        <v>42</v>
      </c>
      <c r="B66" s="53">
        <v>10559.03</v>
      </c>
      <c r="C66" s="53">
        <v>12405.19</v>
      </c>
      <c r="D66" s="53">
        <v>13763.48</v>
      </c>
      <c r="E66" s="53">
        <v>16248.84</v>
      </c>
      <c r="F66" s="53">
        <v>16137.97</v>
      </c>
      <c r="G66" s="53">
        <v>20355.34</v>
      </c>
      <c r="H66" s="53">
        <v>22958.43</v>
      </c>
      <c r="I66" s="53">
        <v>25779.33</v>
      </c>
      <c r="J66" s="53">
        <v>29900.77</v>
      </c>
      <c r="K66" s="53">
        <v>30355.25</v>
      </c>
    </row>
    <row r="67" spans="1:11">
      <c r="A67" s="52" t="s">
        <v>61</v>
      </c>
      <c r="B67" s="53">
        <v>1186.8399999999999</v>
      </c>
      <c r="C67" s="53">
        <v>1446.6</v>
      </c>
      <c r="D67" s="53">
        <v>1730.63</v>
      </c>
      <c r="E67" s="53">
        <v>1907.33</v>
      </c>
      <c r="F67" s="53">
        <v>1795.22</v>
      </c>
      <c r="G67" s="53">
        <v>2602.17</v>
      </c>
      <c r="H67" s="53">
        <v>3871.44</v>
      </c>
      <c r="I67" s="53">
        <v>4636.9399999999996</v>
      </c>
      <c r="J67" s="53">
        <v>4889.05</v>
      </c>
      <c r="K67" s="53">
        <v>4313.6499999999996</v>
      </c>
    </row>
    <row r="68" spans="1:11" ht="15">
      <c r="A68" s="52" t="s">
        <v>62</v>
      </c>
      <c r="B68" s="57">
        <v>1998.24</v>
      </c>
      <c r="C68" s="57">
        <v>2626.94</v>
      </c>
      <c r="D68" s="57">
        <v>2658.31</v>
      </c>
      <c r="E68" s="57">
        <v>3149.86</v>
      </c>
      <c r="F68" s="57">
        <v>3389.81</v>
      </c>
      <c r="G68" s="57">
        <v>3798.6</v>
      </c>
      <c r="H68" s="57">
        <v>6152.98</v>
      </c>
      <c r="I68" s="57">
        <v>6210.64</v>
      </c>
      <c r="J68" s="57">
        <v>5923.41</v>
      </c>
      <c r="K68" s="57">
        <v>6719.27</v>
      </c>
    </row>
    <row r="69" spans="1:11">
      <c r="A69" s="52" t="s">
        <v>63</v>
      </c>
      <c r="B69" s="53">
        <v>424.2</v>
      </c>
      <c r="C69" s="53">
        <v>801.21</v>
      </c>
      <c r="D69" s="53">
        <v>404.65</v>
      </c>
      <c r="E69" s="53">
        <v>444.88</v>
      </c>
      <c r="F69" s="53">
        <v>782.83</v>
      </c>
      <c r="G69" s="53">
        <v>610.75</v>
      </c>
      <c r="H69" s="53">
        <v>864.33</v>
      </c>
      <c r="I69" s="53">
        <v>843.82</v>
      </c>
      <c r="J69" s="53">
        <v>1084.01</v>
      </c>
      <c r="K69" s="53">
        <v>781.98</v>
      </c>
    </row>
    <row r="70" spans="1:11">
      <c r="A70" s="52" t="s">
        <v>94</v>
      </c>
      <c r="B70" s="53">
        <v>959197790</v>
      </c>
      <c r="C70" s="53">
        <v>959197790</v>
      </c>
      <c r="D70" s="53">
        <v>959197790</v>
      </c>
      <c r="E70" s="53">
        <v>959197790</v>
      </c>
      <c r="F70" s="53">
        <v>959197790</v>
      </c>
      <c r="G70" s="53">
        <v>959197790</v>
      </c>
      <c r="H70" s="53">
        <v>959197790</v>
      </c>
      <c r="I70" s="53">
        <v>959197790</v>
      </c>
      <c r="J70" s="53">
        <v>959197790</v>
      </c>
      <c r="K70" s="53">
        <v>959197790</v>
      </c>
    </row>
    <row r="71" spans="1:11" ht="16.5">
      <c r="A71" s="52" t="s">
        <v>95</v>
      </c>
      <c r="B71" s="59"/>
      <c r="C71" s="59"/>
      <c r="G71" s="59"/>
      <c r="H71" s="59"/>
    </row>
    <row r="72" spans="1:11">
      <c r="A72" s="52" t="s">
        <v>96</v>
      </c>
      <c r="B72" s="53">
        <v>1</v>
      </c>
      <c r="C72" s="53">
        <v>1</v>
      </c>
      <c r="D72" s="53">
        <v>1</v>
      </c>
      <c r="E72" s="53">
        <v>1</v>
      </c>
      <c r="F72" s="53">
        <v>1</v>
      </c>
      <c r="G72" s="53">
        <v>1</v>
      </c>
      <c r="H72" s="53">
        <v>1</v>
      </c>
      <c r="I72" s="53">
        <v>1</v>
      </c>
      <c r="J72" s="53">
        <v>1</v>
      </c>
      <c r="K72" s="53">
        <v>1</v>
      </c>
    </row>
    <row r="73" spans="1:11">
      <c r="H73" s="52">
        <f>H62-G62+H45</f>
        <v>-111.76000000000005</v>
      </c>
      <c r="I73" s="52">
        <f t="shared" ref="I73:K73" si="3">I62-H62+I45</f>
        <v>493.38999999999965</v>
      </c>
      <c r="J73" s="52">
        <f t="shared" si="3"/>
        <v>1631.7099999999998</v>
      </c>
      <c r="K73" s="52">
        <f t="shared" si="3"/>
        <v>2374.5800000000004</v>
      </c>
    </row>
    <row r="80" spans="1:11">
      <c r="A80" s="51" t="s">
        <v>97</v>
      </c>
    </row>
    <row r="81" spans="1:12" s="56" customFormat="1">
      <c r="A81" s="54" t="s">
        <v>77</v>
      </c>
      <c r="B81" s="55">
        <v>42460</v>
      </c>
      <c r="C81" s="55">
        <v>42825</v>
      </c>
      <c r="D81" s="55">
        <v>43190</v>
      </c>
      <c r="E81" s="55">
        <v>43555</v>
      </c>
      <c r="F81" s="55">
        <v>43921</v>
      </c>
      <c r="G81" s="55">
        <v>44286</v>
      </c>
      <c r="H81" s="55">
        <v>44651</v>
      </c>
      <c r="I81" s="55">
        <v>45016</v>
      </c>
      <c r="J81" s="55">
        <v>45382</v>
      </c>
      <c r="K81" s="55">
        <v>45747</v>
      </c>
      <c r="L81" s="55"/>
    </row>
    <row r="82" spans="1:12" s="51" customFormat="1">
      <c r="A82" s="52" t="s">
        <v>98</v>
      </c>
      <c r="B82" s="53">
        <v>2242.9499999999998</v>
      </c>
      <c r="C82" s="53">
        <v>1527.33</v>
      </c>
      <c r="D82" s="53">
        <v>2113.44</v>
      </c>
      <c r="E82" s="53">
        <v>2469.54</v>
      </c>
      <c r="F82" s="53">
        <v>3038.15</v>
      </c>
      <c r="G82" s="53">
        <v>3683.35</v>
      </c>
      <c r="H82" s="53">
        <v>986.49</v>
      </c>
      <c r="I82" s="53">
        <v>4193.43</v>
      </c>
      <c r="J82" s="53">
        <v>6103.6</v>
      </c>
      <c r="K82" s="53">
        <v>4423.96</v>
      </c>
    </row>
    <row r="83" spans="1:12">
      <c r="A83" s="52" t="s">
        <v>99</v>
      </c>
      <c r="B83" s="53">
        <v>-866.21</v>
      </c>
      <c r="C83" s="53">
        <v>-681.11</v>
      </c>
      <c r="D83" s="53">
        <v>-1556.14</v>
      </c>
      <c r="E83" s="53">
        <v>-917.79</v>
      </c>
      <c r="F83" s="53">
        <v>-517.91</v>
      </c>
      <c r="G83" s="53">
        <v>-540.54</v>
      </c>
      <c r="H83" s="53">
        <v>-316.75</v>
      </c>
      <c r="I83" s="53">
        <v>-1282.3399999999999</v>
      </c>
      <c r="J83" s="53">
        <v>-2548.48</v>
      </c>
      <c r="K83" s="53">
        <v>-940.91</v>
      </c>
    </row>
    <row r="84" spans="1:12">
      <c r="A84" s="52" t="s">
        <v>100</v>
      </c>
      <c r="B84" s="53">
        <v>-848.98</v>
      </c>
      <c r="C84" s="53">
        <v>-756.43</v>
      </c>
      <c r="D84" s="53">
        <v>-1379.14</v>
      </c>
      <c r="E84" s="53">
        <v>-1117.46</v>
      </c>
      <c r="F84" s="53">
        <v>-2871.46</v>
      </c>
      <c r="G84" s="53">
        <v>-650.4</v>
      </c>
      <c r="H84" s="53">
        <v>-1807.61</v>
      </c>
      <c r="I84" s="53">
        <v>-2140.0500000000002</v>
      </c>
      <c r="J84" s="53">
        <v>-2982.5</v>
      </c>
      <c r="K84" s="53">
        <v>-3752.58</v>
      </c>
    </row>
    <row r="85" spans="1:12" s="51" customFormat="1">
      <c r="A85" s="52" t="s">
        <v>66</v>
      </c>
      <c r="B85" s="53">
        <v>527.76</v>
      </c>
      <c r="C85" s="53">
        <v>89.79</v>
      </c>
      <c r="D85" s="53">
        <v>-821.84</v>
      </c>
      <c r="E85" s="53">
        <v>434.29</v>
      </c>
      <c r="F85" s="53">
        <v>-351.22</v>
      </c>
      <c r="G85" s="53">
        <v>2492.41</v>
      </c>
      <c r="H85" s="53">
        <v>-1137.8699999999999</v>
      </c>
      <c r="I85" s="53">
        <v>771.04</v>
      </c>
      <c r="J85" s="53">
        <v>572.62</v>
      </c>
      <c r="K85" s="53">
        <v>-269.52999999999997</v>
      </c>
    </row>
    <row r="90" spans="1:12" s="51" customFormat="1">
      <c r="A90" s="51" t="s">
        <v>101</v>
      </c>
      <c r="B90" s="53">
        <v>868.4</v>
      </c>
      <c r="C90" s="53">
        <v>1073.5</v>
      </c>
      <c r="D90" s="53">
        <v>1120.4000000000001</v>
      </c>
      <c r="E90" s="53">
        <v>1492.7</v>
      </c>
      <c r="F90" s="53">
        <v>1666.5</v>
      </c>
      <c r="G90" s="53">
        <v>2537.4</v>
      </c>
      <c r="H90" s="53">
        <v>3079.95</v>
      </c>
      <c r="I90" s="53">
        <v>2761.65</v>
      </c>
      <c r="J90" s="53">
        <v>2846.75</v>
      </c>
      <c r="K90" s="53">
        <v>2340.65</v>
      </c>
    </row>
    <row r="92" spans="1:12" s="51" customFormat="1">
      <c r="A92" s="51" t="s">
        <v>102</v>
      </c>
    </row>
    <row r="93" spans="1:12">
      <c r="A93" s="52" t="s">
        <v>103</v>
      </c>
      <c r="B93" s="60">
        <v>95.92</v>
      </c>
      <c r="C93" s="60">
        <v>95.92</v>
      </c>
      <c r="D93" s="60">
        <v>95.92</v>
      </c>
      <c r="E93" s="60">
        <v>95.92</v>
      </c>
      <c r="F93" s="60">
        <v>95.92</v>
      </c>
      <c r="G93" s="60">
        <v>95.92</v>
      </c>
      <c r="H93" s="60">
        <v>95.92</v>
      </c>
      <c r="I93" s="60">
        <v>95.92</v>
      </c>
      <c r="J93" s="60">
        <v>95.92</v>
      </c>
      <c r="K93" s="60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72"/>
  <sheetViews>
    <sheetView showGridLines="0" tabSelected="1" topLeftCell="B2" workbookViewId="0">
      <pane ySplit="1" topLeftCell="A3" activePane="bottomLeft" state="frozen"/>
      <selection activeCell="A2" sqref="A2"/>
      <selection pane="bottomLeft" activeCell="D13" sqref="D13"/>
    </sheetView>
  </sheetViews>
  <sheetFormatPr defaultRowHeight="15"/>
  <cols>
    <col min="1" max="1" width="1.85546875" customWidth="1"/>
    <col min="2" max="2" width="35.42578125" bestFit="1" customWidth="1"/>
  </cols>
  <sheetData>
    <row r="2" spans="2:30">
      <c r="B2" s="40" t="s">
        <v>133</v>
      </c>
      <c r="C2" s="62">
        <v>41699</v>
      </c>
      <c r="D2" s="62">
        <v>42064</v>
      </c>
      <c r="E2" s="62">
        <v>42430</v>
      </c>
      <c r="F2" s="62">
        <v>42795</v>
      </c>
      <c r="G2" s="62">
        <v>43160</v>
      </c>
      <c r="H2" s="62">
        <v>43525</v>
      </c>
      <c r="I2" s="62">
        <v>43891</v>
      </c>
      <c r="J2" s="62">
        <v>44256</v>
      </c>
      <c r="K2" s="62">
        <v>44621</v>
      </c>
      <c r="L2" s="62">
        <v>44986</v>
      </c>
      <c r="M2" s="62">
        <v>45352</v>
      </c>
      <c r="N2" s="62">
        <v>45717</v>
      </c>
    </row>
    <row r="3" spans="2:30">
      <c r="B3" s="49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2:30">
      <c r="B4" s="2" t="s">
        <v>104</v>
      </c>
      <c r="C4" s="67">
        <v>96</v>
      </c>
      <c r="D4" s="67">
        <v>96</v>
      </c>
      <c r="E4" s="67">
        <v>96</v>
      </c>
      <c r="F4" s="67">
        <v>96</v>
      </c>
      <c r="G4" s="67">
        <v>96</v>
      </c>
      <c r="H4" s="67">
        <v>96</v>
      </c>
      <c r="I4" s="67">
        <v>96</v>
      </c>
      <c r="J4" s="67">
        <v>96</v>
      </c>
      <c r="K4" s="67">
        <v>96</v>
      </c>
      <c r="L4" s="67">
        <v>96</v>
      </c>
      <c r="M4" s="67">
        <v>96</v>
      </c>
      <c r="N4" s="67">
        <v>96</v>
      </c>
    </row>
    <row r="5" spans="2:30">
      <c r="B5" s="2" t="s">
        <v>54</v>
      </c>
      <c r="C5" s="67">
        <v>3943</v>
      </c>
      <c r="D5" s="67">
        <v>4646</v>
      </c>
      <c r="E5" s="67">
        <v>6429</v>
      </c>
      <c r="F5" s="67">
        <v>7508</v>
      </c>
      <c r="G5" s="67">
        <v>8314</v>
      </c>
      <c r="H5" s="67">
        <v>9375</v>
      </c>
      <c r="I5" s="67">
        <v>10034</v>
      </c>
      <c r="J5" s="67">
        <v>12710</v>
      </c>
      <c r="K5" s="67">
        <v>13716</v>
      </c>
      <c r="L5" s="67">
        <v>15896</v>
      </c>
      <c r="M5" s="67">
        <v>18632</v>
      </c>
      <c r="N5" s="67">
        <v>19304</v>
      </c>
    </row>
    <row r="6" spans="2:30">
      <c r="B6" s="2" t="s">
        <v>105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</row>
    <row r="7" spans="2:30">
      <c r="B7" t="s">
        <v>106</v>
      </c>
      <c r="C7" s="67">
        <v>41</v>
      </c>
      <c r="D7" s="67">
        <v>78</v>
      </c>
      <c r="E7" s="67">
        <v>73</v>
      </c>
      <c r="F7" s="67">
        <v>41</v>
      </c>
      <c r="G7" s="67">
        <v>28</v>
      </c>
      <c r="H7" s="67">
        <v>19</v>
      </c>
      <c r="I7" s="67">
        <v>19</v>
      </c>
      <c r="J7" s="67">
        <v>15</v>
      </c>
      <c r="K7" s="67">
        <v>45</v>
      </c>
      <c r="L7" s="67">
        <v>76</v>
      </c>
      <c r="M7" s="67">
        <v>54</v>
      </c>
      <c r="N7" s="67">
        <v>260</v>
      </c>
    </row>
    <row r="8" spans="2:30">
      <c r="B8" t="s">
        <v>107</v>
      </c>
      <c r="C8" s="67">
        <v>199</v>
      </c>
      <c r="D8" s="67">
        <v>332</v>
      </c>
      <c r="E8" s="67">
        <v>231</v>
      </c>
      <c r="F8" s="67">
        <v>504</v>
      </c>
      <c r="G8" s="67">
        <v>492</v>
      </c>
      <c r="H8" s="67">
        <v>597</v>
      </c>
      <c r="I8" s="67">
        <v>321</v>
      </c>
      <c r="J8" s="67">
        <v>334</v>
      </c>
      <c r="K8" s="67">
        <v>731</v>
      </c>
      <c r="L8" s="67">
        <v>896</v>
      </c>
      <c r="M8" s="67">
        <v>1053</v>
      </c>
      <c r="N8" s="67">
        <v>604</v>
      </c>
    </row>
    <row r="9" spans="2:30">
      <c r="B9" t="s">
        <v>108</v>
      </c>
      <c r="C9" s="67">
        <v>0</v>
      </c>
      <c r="D9" s="67">
        <v>0</v>
      </c>
      <c r="E9" s="67">
        <v>0</v>
      </c>
      <c r="F9" s="67">
        <v>0</v>
      </c>
      <c r="G9" s="67">
        <v>0</v>
      </c>
      <c r="H9" s="67">
        <v>693</v>
      </c>
      <c r="I9" s="67">
        <v>764</v>
      </c>
      <c r="J9" s="67">
        <v>745</v>
      </c>
      <c r="K9" s="67">
        <v>811</v>
      </c>
      <c r="L9" s="67">
        <v>960</v>
      </c>
      <c r="M9" s="67">
        <v>1367</v>
      </c>
      <c r="N9" s="67">
        <v>1427</v>
      </c>
    </row>
    <row r="10" spans="2:30">
      <c r="B10" t="s">
        <v>109</v>
      </c>
      <c r="C10" s="67">
        <v>9</v>
      </c>
      <c r="D10" s="67">
        <v>8</v>
      </c>
      <c r="E10" s="67">
        <v>20</v>
      </c>
      <c r="F10" s="67">
        <v>15</v>
      </c>
      <c r="G10" s="67">
        <v>13</v>
      </c>
      <c r="H10" s="67">
        <v>11</v>
      </c>
      <c r="I10" s="67">
        <v>15</v>
      </c>
      <c r="J10" s="67">
        <v>0</v>
      </c>
      <c r="K10" s="67">
        <v>0</v>
      </c>
      <c r="L10" s="67">
        <v>0</v>
      </c>
      <c r="M10" s="67">
        <v>0</v>
      </c>
      <c r="N10" s="67">
        <v>0</v>
      </c>
      <c r="AC10" s="61"/>
    </row>
    <row r="11" spans="2:30">
      <c r="B11" s="2" t="s">
        <v>110</v>
      </c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AC11" s="61"/>
      <c r="AD11" s="61"/>
    </row>
    <row r="12" spans="2:30">
      <c r="B12" t="s">
        <v>111</v>
      </c>
      <c r="C12" s="67">
        <v>246</v>
      </c>
      <c r="D12" s="67">
        <v>264</v>
      </c>
      <c r="E12" s="67">
        <v>384</v>
      </c>
      <c r="F12" s="67">
        <v>375</v>
      </c>
      <c r="G12" s="67">
        <v>328</v>
      </c>
      <c r="H12" s="67">
        <v>361</v>
      </c>
      <c r="I12" s="67">
        <v>404</v>
      </c>
      <c r="J12" s="67">
        <v>423</v>
      </c>
      <c r="K12" s="67">
        <v>388</v>
      </c>
      <c r="L12" s="67">
        <v>454</v>
      </c>
      <c r="M12" s="67">
        <v>695</v>
      </c>
      <c r="N12" s="67">
        <v>659</v>
      </c>
      <c r="AB12" s="61"/>
      <c r="AC12" s="61"/>
    </row>
    <row r="13" spans="2:30">
      <c r="B13" t="s">
        <v>112</v>
      </c>
      <c r="C13" s="67">
        <v>1746</v>
      </c>
      <c r="D13" s="67">
        <v>1549</v>
      </c>
      <c r="E13" s="67">
        <v>1565</v>
      </c>
      <c r="F13" s="67">
        <v>1923</v>
      </c>
      <c r="G13" s="67">
        <v>2160</v>
      </c>
      <c r="H13" s="67">
        <v>2394</v>
      </c>
      <c r="I13" s="67">
        <v>2137</v>
      </c>
      <c r="J13" s="67">
        <v>3379</v>
      </c>
      <c r="K13" s="67">
        <v>4164</v>
      </c>
      <c r="L13" s="67">
        <v>3635</v>
      </c>
      <c r="M13" s="67">
        <v>3831</v>
      </c>
      <c r="N13" s="67">
        <v>3848</v>
      </c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</row>
    <row r="14" spans="2:30">
      <c r="B14" t="s">
        <v>113</v>
      </c>
      <c r="C14" s="67">
        <v>0</v>
      </c>
      <c r="D14" s="67">
        <v>5</v>
      </c>
      <c r="E14" s="67">
        <v>12</v>
      </c>
      <c r="F14" s="67">
        <v>17</v>
      </c>
      <c r="G14" s="67">
        <v>16</v>
      </c>
      <c r="H14" s="67">
        <v>13</v>
      </c>
      <c r="I14" s="67">
        <v>29</v>
      </c>
      <c r="J14" s="67">
        <v>41</v>
      </c>
      <c r="K14" s="67">
        <v>76</v>
      </c>
      <c r="L14" s="67">
        <v>108</v>
      </c>
      <c r="M14" s="67">
        <v>154</v>
      </c>
      <c r="N14" s="67">
        <v>173</v>
      </c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</row>
    <row r="15" spans="2:30">
      <c r="B15" t="s">
        <v>114</v>
      </c>
      <c r="C15" s="68">
        <v>1795</v>
      </c>
      <c r="D15" s="68">
        <v>1937</v>
      </c>
      <c r="E15" s="68">
        <v>1750</v>
      </c>
      <c r="F15" s="68">
        <v>1925</v>
      </c>
      <c r="G15" s="68">
        <v>2316</v>
      </c>
      <c r="H15" s="68">
        <v>2690</v>
      </c>
      <c r="I15" s="68">
        <v>2320</v>
      </c>
      <c r="J15" s="68">
        <v>2613</v>
      </c>
      <c r="K15" s="68">
        <v>2932</v>
      </c>
      <c r="L15" s="68">
        <v>3657</v>
      </c>
      <c r="M15" s="68">
        <v>4017</v>
      </c>
      <c r="N15" s="68">
        <v>3985</v>
      </c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</row>
    <row r="16" spans="2:30">
      <c r="B16" s="65" t="s">
        <v>57</v>
      </c>
      <c r="C16" s="73">
        <f>SUM(C4:C15)</f>
        <v>8075</v>
      </c>
      <c r="D16" s="73">
        <f t="shared" ref="D16:N16" si="0">SUM(D4:D15)</f>
        <v>8915</v>
      </c>
      <c r="E16" s="73">
        <f t="shared" si="0"/>
        <v>10560</v>
      </c>
      <c r="F16" s="73">
        <f t="shared" si="0"/>
        <v>12404</v>
      </c>
      <c r="G16" s="73">
        <f t="shared" si="0"/>
        <v>13763</v>
      </c>
      <c r="H16" s="73">
        <f t="shared" si="0"/>
        <v>16249</v>
      </c>
      <c r="I16" s="73">
        <f t="shared" si="0"/>
        <v>16139</v>
      </c>
      <c r="J16" s="73">
        <f t="shared" si="0"/>
        <v>20356</v>
      </c>
      <c r="K16" s="73">
        <f t="shared" si="0"/>
        <v>22959</v>
      </c>
      <c r="L16" s="73">
        <f t="shared" si="0"/>
        <v>25778</v>
      </c>
      <c r="M16" s="73">
        <f t="shared" si="0"/>
        <v>29899</v>
      </c>
      <c r="N16" s="73">
        <f t="shared" si="0"/>
        <v>30356</v>
      </c>
    </row>
    <row r="17" spans="2:29"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</row>
    <row r="18" spans="2:29">
      <c r="B18" s="2" t="s">
        <v>115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</row>
    <row r="19" spans="2:29">
      <c r="B19" t="s">
        <v>116</v>
      </c>
      <c r="C19" s="67">
        <v>247</v>
      </c>
      <c r="D19" s="67">
        <v>251</v>
      </c>
      <c r="E19" s="67">
        <v>429</v>
      </c>
      <c r="F19" s="67">
        <v>408</v>
      </c>
      <c r="G19" s="67">
        <v>586</v>
      </c>
      <c r="H19" s="67">
        <v>605</v>
      </c>
      <c r="I19" s="67">
        <v>640</v>
      </c>
      <c r="J19" s="67">
        <v>644</v>
      </c>
      <c r="K19" s="67">
        <v>644</v>
      </c>
      <c r="L19" s="67">
        <v>804</v>
      </c>
      <c r="M19" s="67">
        <v>1126</v>
      </c>
      <c r="N19" s="67">
        <v>1050</v>
      </c>
    </row>
    <row r="20" spans="2:29">
      <c r="B20" t="s">
        <v>117</v>
      </c>
      <c r="C20" s="67">
        <v>931</v>
      </c>
      <c r="D20" s="67">
        <v>962</v>
      </c>
      <c r="E20" s="67">
        <v>923</v>
      </c>
      <c r="F20" s="67">
        <v>931</v>
      </c>
      <c r="G20" s="67">
        <v>957</v>
      </c>
      <c r="H20" s="67">
        <v>2402</v>
      </c>
      <c r="I20" s="67">
        <v>2257</v>
      </c>
      <c r="J20" s="67">
        <v>2249</v>
      </c>
      <c r="K20" s="67">
        <v>2325</v>
      </c>
      <c r="L20" s="67">
        <v>2883</v>
      </c>
      <c r="M20" s="67">
        <v>3390</v>
      </c>
      <c r="N20" s="67">
        <v>4136</v>
      </c>
    </row>
    <row r="21" spans="2:29">
      <c r="B21" t="s">
        <v>118</v>
      </c>
      <c r="C21" s="67">
        <v>2054</v>
      </c>
      <c r="D21" s="67">
        <v>2132</v>
      </c>
      <c r="E21" s="67">
        <v>1793</v>
      </c>
      <c r="F21" s="67">
        <v>1980</v>
      </c>
      <c r="G21" s="67">
        <v>2157</v>
      </c>
      <c r="H21" s="67">
        <v>4006</v>
      </c>
      <c r="I21" s="67">
        <v>4208</v>
      </c>
      <c r="J21" s="67">
        <v>4340</v>
      </c>
      <c r="K21" s="67">
        <v>4531</v>
      </c>
      <c r="L21" s="67">
        <v>4825</v>
      </c>
      <c r="M21" s="67">
        <v>5422</v>
      </c>
      <c r="N21" s="67">
        <v>7576</v>
      </c>
    </row>
    <row r="22" spans="2:29">
      <c r="B22" t="s">
        <v>119</v>
      </c>
      <c r="C22" s="67">
        <v>155</v>
      </c>
      <c r="D22" s="67">
        <v>171</v>
      </c>
      <c r="E22" s="67">
        <v>97</v>
      </c>
      <c r="F22" s="67">
        <v>119</v>
      </c>
      <c r="G22" s="67">
        <v>200</v>
      </c>
      <c r="H22" s="67">
        <v>221</v>
      </c>
      <c r="I22" s="67">
        <v>241</v>
      </c>
      <c r="J22" s="67">
        <v>243</v>
      </c>
      <c r="K22" s="67">
        <v>253</v>
      </c>
      <c r="L22" s="67">
        <v>270</v>
      </c>
      <c r="M22" s="67">
        <v>298</v>
      </c>
      <c r="N22" s="67">
        <v>325</v>
      </c>
    </row>
    <row r="23" spans="2:29">
      <c r="B23" t="s">
        <v>120</v>
      </c>
      <c r="C23" s="67">
        <v>71</v>
      </c>
      <c r="D23" s="67">
        <v>83</v>
      </c>
      <c r="E23" s="67">
        <v>49</v>
      </c>
      <c r="F23" s="67">
        <v>59</v>
      </c>
      <c r="G23" s="67">
        <v>72</v>
      </c>
      <c r="H23" s="67">
        <v>88</v>
      </c>
      <c r="I23" s="67">
        <v>94</v>
      </c>
      <c r="J23" s="67">
        <v>99</v>
      </c>
      <c r="K23" s="67">
        <v>113</v>
      </c>
      <c r="L23" s="67">
        <v>146</v>
      </c>
      <c r="M23" s="67">
        <v>175</v>
      </c>
      <c r="N23" s="67">
        <v>203</v>
      </c>
    </row>
    <row r="24" spans="2:29">
      <c r="B24" t="s">
        <v>121</v>
      </c>
      <c r="C24" s="67">
        <v>14</v>
      </c>
      <c r="D24" s="67">
        <v>18</v>
      </c>
      <c r="E24" s="67">
        <v>11</v>
      </c>
      <c r="F24" s="67">
        <v>14</v>
      </c>
      <c r="G24" s="67">
        <v>27</v>
      </c>
      <c r="H24" s="67">
        <v>47</v>
      </c>
      <c r="I24" s="67">
        <v>43</v>
      </c>
      <c r="J24" s="67">
        <v>38</v>
      </c>
      <c r="K24" s="67">
        <v>32</v>
      </c>
      <c r="L24" s="67">
        <v>36</v>
      </c>
      <c r="M24" s="67">
        <v>40</v>
      </c>
      <c r="N24" s="67">
        <v>39</v>
      </c>
    </row>
    <row r="25" spans="2:29">
      <c r="B25" t="s">
        <v>122</v>
      </c>
      <c r="C25" s="67">
        <v>203</v>
      </c>
      <c r="D25" s="67">
        <v>351</v>
      </c>
      <c r="E25" s="67">
        <v>339</v>
      </c>
      <c r="F25" s="67">
        <v>276</v>
      </c>
      <c r="G25" s="67">
        <v>468</v>
      </c>
      <c r="H25" s="67">
        <v>512</v>
      </c>
      <c r="I25" s="67">
        <v>505</v>
      </c>
      <c r="J25" s="67">
        <v>476</v>
      </c>
      <c r="K25" s="67">
        <v>345</v>
      </c>
      <c r="L25" s="67">
        <v>422</v>
      </c>
      <c r="M25" s="67">
        <v>850</v>
      </c>
      <c r="N25" s="67">
        <v>827</v>
      </c>
    </row>
    <row r="26" spans="2:29">
      <c r="B26" t="s">
        <v>123</v>
      </c>
      <c r="C26" s="67">
        <v>128</v>
      </c>
      <c r="D26" s="67">
        <v>145</v>
      </c>
      <c r="E26" s="67">
        <v>103</v>
      </c>
      <c r="F26" s="67">
        <v>128</v>
      </c>
      <c r="G26" s="67">
        <v>238</v>
      </c>
      <c r="H26" s="67">
        <v>261</v>
      </c>
      <c r="I26" s="67">
        <v>293</v>
      </c>
      <c r="J26" s="67">
        <v>302</v>
      </c>
      <c r="K26" s="67">
        <v>294</v>
      </c>
      <c r="L26" s="67">
        <v>289</v>
      </c>
      <c r="M26" s="67">
        <v>321</v>
      </c>
      <c r="N26" s="67">
        <v>328</v>
      </c>
    </row>
    <row r="27" spans="2:29">
      <c r="B27" s="2" t="s">
        <v>124</v>
      </c>
      <c r="C27" s="69">
        <f t="shared" ref="C27:M27" si="1">SUM(C19:C26)</f>
        <v>3803</v>
      </c>
      <c r="D27" s="69">
        <f t="shared" si="1"/>
        <v>4113</v>
      </c>
      <c r="E27" s="69">
        <f t="shared" si="1"/>
        <v>3744</v>
      </c>
      <c r="F27" s="69">
        <f t="shared" si="1"/>
        <v>3915</v>
      </c>
      <c r="G27" s="69">
        <f t="shared" si="1"/>
        <v>4705</v>
      </c>
      <c r="H27" s="69">
        <f t="shared" si="1"/>
        <v>8142</v>
      </c>
      <c r="I27" s="69">
        <f t="shared" si="1"/>
        <v>8281</v>
      </c>
      <c r="J27" s="69">
        <f t="shared" si="1"/>
        <v>8391</v>
      </c>
      <c r="K27" s="69">
        <f t="shared" si="1"/>
        <v>8537</v>
      </c>
      <c r="L27" s="69">
        <f t="shared" si="1"/>
        <v>9675</v>
      </c>
      <c r="M27" s="69">
        <f t="shared" si="1"/>
        <v>11622</v>
      </c>
      <c r="N27" s="69">
        <f>SUM(N19:N26)</f>
        <v>14484</v>
      </c>
    </row>
    <row r="28" spans="2:29">
      <c r="B28" s="2" t="s">
        <v>125</v>
      </c>
      <c r="C28" s="68">
        <v>1223</v>
      </c>
      <c r="D28" s="68">
        <v>1438</v>
      </c>
      <c r="E28" s="68">
        <v>275</v>
      </c>
      <c r="F28" s="68">
        <v>610</v>
      </c>
      <c r="G28" s="68">
        <v>973</v>
      </c>
      <c r="H28" s="68">
        <v>1592</v>
      </c>
      <c r="I28" s="68">
        <v>2010</v>
      </c>
      <c r="J28" s="68">
        <v>2533</v>
      </c>
      <c r="K28" s="68">
        <v>3019</v>
      </c>
      <c r="L28" s="68">
        <v>3814</v>
      </c>
      <c r="M28" s="68">
        <v>4381</v>
      </c>
      <c r="N28" s="68">
        <v>4945</v>
      </c>
    </row>
    <row r="29" spans="2:29">
      <c r="B29" s="70" t="s">
        <v>93</v>
      </c>
      <c r="C29" s="71">
        <f>C27-C28</f>
        <v>2580</v>
      </c>
      <c r="D29" s="71">
        <f t="shared" ref="D29:N29" si="2">D27-D28</f>
        <v>2675</v>
      </c>
      <c r="E29" s="71">
        <f t="shared" si="2"/>
        <v>3469</v>
      </c>
      <c r="F29" s="71">
        <f t="shared" si="2"/>
        <v>3305</v>
      </c>
      <c r="G29" s="71">
        <f t="shared" si="2"/>
        <v>3732</v>
      </c>
      <c r="H29" s="71">
        <f t="shared" si="2"/>
        <v>6550</v>
      </c>
      <c r="I29" s="71">
        <f t="shared" si="2"/>
        <v>6271</v>
      </c>
      <c r="J29" s="71">
        <f t="shared" si="2"/>
        <v>5858</v>
      </c>
      <c r="K29" s="71">
        <f t="shared" si="2"/>
        <v>5518</v>
      </c>
      <c r="L29" s="71">
        <f t="shared" si="2"/>
        <v>5861</v>
      </c>
      <c r="M29" s="71">
        <f t="shared" si="2"/>
        <v>7241</v>
      </c>
      <c r="N29" s="71">
        <f t="shared" si="2"/>
        <v>9539</v>
      </c>
    </row>
    <row r="30" spans="2:29">
      <c r="B30" s="2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</row>
    <row r="31" spans="2:29">
      <c r="B31" s="2" t="s">
        <v>126</v>
      </c>
      <c r="C31" s="67">
        <v>43</v>
      </c>
      <c r="D31" s="67">
        <v>617</v>
      </c>
      <c r="E31" s="67">
        <v>59</v>
      </c>
      <c r="F31" s="67">
        <v>72</v>
      </c>
      <c r="G31" s="67">
        <v>196</v>
      </c>
      <c r="H31" s="67">
        <v>107</v>
      </c>
      <c r="I31" s="67">
        <v>258</v>
      </c>
      <c r="J31" s="67">
        <v>1405</v>
      </c>
      <c r="K31" s="67">
        <v>210</v>
      </c>
      <c r="L31" s="67">
        <v>140</v>
      </c>
      <c r="M31" s="67">
        <v>183</v>
      </c>
      <c r="N31" s="67">
        <v>426</v>
      </c>
    </row>
    <row r="32" spans="2:29">
      <c r="B32" s="2" t="s">
        <v>59</v>
      </c>
      <c r="C32" s="67">
        <v>429</v>
      </c>
      <c r="D32" s="67">
        <v>355</v>
      </c>
      <c r="E32" s="67">
        <v>296</v>
      </c>
      <c r="F32" s="67">
        <v>1424</v>
      </c>
      <c r="G32" s="67">
        <v>1588</v>
      </c>
      <c r="H32" s="67">
        <v>2712</v>
      </c>
      <c r="I32" s="67">
        <v>2652</v>
      </c>
      <c r="J32" s="67">
        <v>2141</v>
      </c>
      <c r="K32" s="67">
        <v>2569</v>
      </c>
      <c r="L32" s="67">
        <v>2019</v>
      </c>
      <c r="M32" s="67">
        <v>4737</v>
      </c>
      <c r="N32" s="67">
        <v>3248</v>
      </c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</row>
    <row r="33" spans="2:29">
      <c r="B33" s="2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</row>
    <row r="34" spans="2:29">
      <c r="B34" s="2" t="s">
        <v>127</v>
      </c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AB34" s="61"/>
    </row>
    <row r="35" spans="2:29">
      <c r="B35" t="s">
        <v>128</v>
      </c>
      <c r="C35" s="67">
        <v>2070</v>
      </c>
      <c r="D35" s="67">
        <v>2259</v>
      </c>
      <c r="E35" s="67">
        <v>1998</v>
      </c>
      <c r="F35" s="67">
        <v>2627</v>
      </c>
      <c r="G35" s="67">
        <v>2658</v>
      </c>
      <c r="H35" s="67">
        <v>3150</v>
      </c>
      <c r="I35" s="67">
        <v>3390</v>
      </c>
      <c r="J35" s="67">
        <v>3799</v>
      </c>
      <c r="K35" s="67">
        <v>6153</v>
      </c>
      <c r="L35" s="67">
        <v>6211</v>
      </c>
      <c r="M35" s="67">
        <v>5923</v>
      </c>
      <c r="N35" s="67">
        <v>6719</v>
      </c>
    </row>
    <row r="36" spans="2:29">
      <c r="B36" t="s">
        <v>129</v>
      </c>
      <c r="C36" s="67">
        <v>1110</v>
      </c>
      <c r="D36" s="67">
        <v>1182</v>
      </c>
      <c r="E36" s="67">
        <v>1187</v>
      </c>
      <c r="F36" s="67">
        <v>1447</v>
      </c>
      <c r="G36" s="67">
        <v>1731</v>
      </c>
      <c r="H36" s="67">
        <v>1907</v>
      </c>
      <c r="I36" s="67">
        <v>1795</v>
      </c>
      <c r="J36" s="67">
        <v>2602</v>
      </c>
      <c r="K36" s="67">
        <v>3871</v>
      </c>
      <c r="L36" s="67">
        <v>4637</v>
      </c>
      <c r="M36" s="67">
        <v>4889</v>
      </c>
      <c r="N36" s="67">
        <v>4314</v>
      </c>
      <c r="U36" s="61"/>
      <c r="V36" s="61"/>
      <c r="W36" s="61"/>
      <c r="X36" s="61"/>
      <c r="Y36" s="61"/>
      <c r="Z36" s="61"/>
      <c r="AA36" s="61"/>
      <c r="AB36" s="61"/>
      <c r="AC36" s="61"/>
    </row>
    <row r="37" spans="2:29">
      <c r="B37" t="s">
        <v>130</v>
      </c>
      <c r="C37" s="67">
        <v>229</v>
      </c>
      <c r="D37" s="67">
        <v>204</v>
      </c>
      <c r="E37" s="67">
        <v>424</v>
      </c>
      <c r="F37" s="67">
        <v>801</v>
      </c>
      <c r="G37" s="67">
        <v>405</v>
      </c>
      <c r="H37" s="67">
        <v>445</v>
      </c>
      <c r="I37" s="67">
        <v>783</v>
      </c>
      <c r="J37" s="67">
        <v>611</v>
      </c>
      <c r="K37" s="67">
        <v>864</v>
      </c>
      <c r="L37" s="67">
        <v>844</v>
      </c>
      <c r="M37" s="67">
        <v>1084</v>
      </c>
      <c r="N37" s="67">
        <v>782</v>
      </c>
    </row>
    <row r="38" spans="2:29">
      <c r="B38" t="s">
        <v>131</v>
      </c>
      <c r="C38" s="67">
        <v>7</v>
      </c>
      <c r="D38" s="67">
        <v>8</v>
      </c>
      <c r="E38" s="67">
        <v>9</v>
      </c>
      <c r="F38" s="67">
        <v>14</v>
      </c>
      <c r="G38" s="67">
        <v>13</v>
      </c>
      <c r="H38" s="67">
        <v>16</v>
      </c>
      <c r="I38" s="67">
        <v>12</v>
      </c>
      <c r="J38" s="67">
        <v>11</v>
      </c>
      <c r="K38" s="67">
        <v>8</v>
      </c>
      <c r="L38" s="67">
        <v>12</v>
      </c>
      <c r="M38" s="67">
        <v>17</v>
      </c>
      <c r="N38" s="67">
        <v>22</v>
      </c>
    </row>
    <row r="39" spans="2:29">
      <c r="B39" t="s">
        <v>132</v>
      </c>
      <c r="C39" s="72">
        <v>603</v>
      </c>
      <c r="D39" s="72">
        <v>817</v>
      </c>
      <c r="E39" s="72">
        <v>705</v>
      </c>
      <c r="F39" s="72">
        <v>1303</v>
      </c>
      <c r="G39" s="72">
        <v>1678</v>
      </c>
      <c r="H39" s="72">
        <v>1456</v>
      </c>
      <c r="I39" s="72">
        <v>1727</v>
      </c>
      <c r="J39" s="72">
        <v>2555</v>
      </c>
      <c r="K39" s="72">
        <v>2869</v>
      </c>
      <c r="L39" s="72">
        <v>3024</v>
      </c>
      <c r="M39" s="72">
        <v>3555</v>
      </c>
      <c r="N39" s="72">
        <v>3319</v>
      </c>
    </row>
    <row r="40" spans="2:29">
      <c r="B40" s="65" t="s">
        <v>65</v>
      </c>
      <c r="C40" s="73">
        <v>8075</v>
      </c>
      <c r="D40" s="73">
        <v>8914</v>
      </c>
      <c r="E40" s="73">
        <v>10559</v>
      </c>
      <c r="F40" s="73">
        <v>12405</v>
      </c>
      <c r="G40" s="73">
        <v>13763</v>
      </c>
      <c r="H40" s="73">
        <v>16249</v>
      </c>
      <c r="I40" s="73">
        <v>16138</v>
      </c>
      <c r="J40" s="73">
        <v>20355</v>
      </c>
      <c r="K40" s="73">
        <v>22958</v>
      </c>
      <c r="L40" s="73">
        <v>25779</v>
      </c>
      <c r="M40" s="73">
        <v>29901</v>
      </c>
      <c r="N40" s="73">
        <v>30355</v>
      </c>
    </row>
    <row r="43" spans="2:29"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3"/>
    </row>
    <row r="44" spans="2:29">
      <c r="C44" s="107">
        <v>41699</v>
      </c>
      <c r="D44" s="108">
        <v>42064</v>
      </c>
      <c r="E44" s="108">
        <v>42430</v>
      </c>
      <c r="F44" s="108">
        <v>42795</v>
      </c>
      <c r="G44" s="108">
        <v>43160</v>
      </c>
      <c r="H44" s="108">
        <v>43525</v>
      </c>
      <c r="I44" s="108">
        <v>43891</v>
      </c>
      <c r="J44" s="108">
        <v>44256</v>
      </c>
      <c r="K44" s="108">
        <v>44621</v>
      </c>
      <c r="L44" s="108">
        <v>44986</v>
      </c>
      <c r="M44" s="108">
        <v>45352</v>
      </c>
      <c r="N44" s="108">
        <v>45717</v>
      </c>
      <c r="O44" s="78"/>
    </row>
    <row r="45" spans="2:29">
      <c r="B45" s="80" t="s">
        <v>205</v>
      </c>
      <c r="C45" s="79">
        <v>1402</v>
      </c>
      <c r="D45" s="79">
        <v>1188</v>
      </c>
      <c r="E45" s="79">
        <v>2243</v>
      </c>
      <c r="F45" s="79">
        <v>1527</v>
      </c>
      <c r="G45" s="79">
        <v>2113</v>
      </c>
      <c r="H45" s="79">
        <v>2470</v>
      </c>
      <c r="I45" s="79">
        <v>3038</v>
      </c>
      <c r="J45" s="79">
        <v>3683</v>
      </c>
      <c r="K45" s="79">
        <v>986</v>
      </c>
      <c r="L45" s="79">
        <v>4193</v>
      </c>
      <c r="M45" s="79">
        <v>6104</v>
      </c>
      <c r="N45" s="79">
        <v>4424</v>
      </c>
    </row>
    <row r="46" spans="2:29">
      <c r="B46" s="81" t="s">
        <v>146</v>
      </c>
      <c r="C46" s="83">
        <v>2051</v>
      </c>
      <c r="D46" s="83">
        <v>2271</v>
      </c>
      <c r="E46" s="83">
        <v>2848</v>
      </c>
      <c r="F46" s="83">
        <v>3056</v>
      </c>
      <c r="G46" s="83">
        <v>3274</v>
      </c>
      <c r="H46" s="83">
        <v>3861</v>
      </c>
      <c r="I46" s="83">
        <v>4380</v>
      </c>
      <c r="J46" s="83">
        <v>4970</v>
      </c>
      <c r="K46" s="83">
        <v>4957</v>
      </c>
      <c r="L46" s="83">
        <v>6460</v>
      </c>
      <c r="M46" s="83">
        <v>7929</v>
      </c>
      <c r="N46" s="83">
        <v>6390</v>
      </c>
    </row>
    <row r="47" spans="2:29">
      <c r="B47" s="81" t="s">
        <v>61</v>
      </c>
      <c r="C47" s="82">
        <v>-254</v>
      </c>
      <c r="D47" s="82">
        <v>-155</v>
      </c>
      <c r="E47" s="82">
        <v>-146</v>
      </c>
      <c r="F47" s="82">
        <v>-475</v>
      </c>
      <c r="G47" s="82">
        <v>-483</v>
      </c>
      <c r="H47" s="82">
        <v>-205</v>
      </c>
      <c r="I47" s="82">
        <v>160</v>
      </c>
      <c r="J47" s="82">
        <v>-849</v>
      </c>
      <c r="K47" s="83">
        <v>-1326</v>
      </c>
      <c r="L47" s="82">
        <v>-834</v>
      </c>
      <c r="M47" s="82">
        <v>-362</v>
      </c>
      <c r="N47" s="83">
        <v>282</v>
      </c>
    </row>
    <row r="48" spans="2:29">
      <c r="B48" s="81" t="s">
        <v>62</v>
      </c>
      <c r="C48" s="82">
        <v>-231</v>
      </c>
      <c r="D48" s="82">
        <v>-144</v>
      </c>
      <c r="E48" s="82">
        <v>202</v>
      </c>
      <c r="F48" s="82">
        <v>-629</v>
      </c>
      <c r="G48" s="82">
        <v>-39</v>
      </c>
      <c r="H48" s="82">
        <v>-492</v>
      </c>
      <c r="I48" s="82">
        <v>-251</v>
      </c>
      <c r="J48" s="82">
        <v>-409</v>
      </c>
      <c r="K48" s="83">
        <v>-2354</v>
      </c>
      <c r="L48" s="82">
        <v>-56</v>
      </c>
      <c r="M48" s="83">
        <v>315</v>
      </c>
      <c r="N48" s="82">
        <v>-805</v>
      </c>
    </row>
    <row r="49" spans="2:14">
      <c r="B49" s="81" t="s">
        <v>147</v>
      </c>
      <c r="C49" s="82">
        <v>317</v>
      </c>
      <c r="D49" s="82">
        <v>-151</v>
      </c>
      <c r="E49" s="82">
        <v>142</v>
      </c>
      <c r="F49" s="82">
        <v>501</v>
      </c>
      <c r="G49" s="82">
        <v>442</v>
      </c>
      <c r="H49" s="82">
        <v>287</v>
      </c>
      <c r="I49" s="82">
        <v>-241</v>
      </c>
      <c r="J49" s="83">
        <v>1143</v>
      </c>
      <c r="K49" s="82">
        <v>644</v>
      </c>
      <c r="L49" s="82">
        <v>-539</v>
      </c>
      <c r="M49" s="82">
        <v>269</v>
      </c>
      <c r="N49" s="82">
        <v>-160</v>
      </c>
    </row>
    <row r="50" spans="2:14">
      <c r="B50" s="80" t="s">
        <v>148</v>
      </c>
      <c r="C50" s="78">
        <v>0</v>
      </c>
      <c r="D50" s="78">
        <v>0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-92</v>
      </c>
      <c r="K50" s="78">
        <v>242</v>
      </c>
      <c r="L50" s="78">
        <v>657</v>
      </c>
      <c r="M50" s="78">
        <v>-212</v>
      </c>
      <c r="N50" s="79">
        <v>114</v>
      </c>
    </row>
    <row r="51" spans="2:14">
      <c r="B51" s="81" t="s">
        <v>149</v>
      </c>
      <c r="C51" s="82">
        <v>-168</v>
      </c>
      <c r="D51" s="82">
        <v>-450</v>
      </c>
      <c r="E51" s="82">
        <v>198</v>
      </c>
      <c r="F51" s="82">
        <v>-603</v>
      </c>
      <c r="G51" s="82">
        <v>-80</v>
      </c>
      <c r="H51" s="82">
        <v>-410</v>
      </c>
      <c r="I51" s="82">
        <v>-331</v>
      </c>
      <c r="J51" s="83">
        <v>-206</v>
      </c>
      <c r="K51" s="83">
        <v>-2795</v>
      </c>
      <c r="L51" s="83">
        <v>-772</v>
      </c>
      <c r="M51" s="83">
        <v>10</v>
      </c>
      <c r="N51" s="83">
        <v>-570</v>
      </c>
    </row>
    <row r="52" spans="2:14">
      <c r="B52" s="81" t="s">
        <v>150</v>
      </c>
      <c r="C52" s="82">
        <v>-480</v>
      </c>
      <c r="D52" s="82">
        <v>-633</v>
      </c>
      <c r="E52" s="82">
        <v>-802</v>
      </c>
      <c r="F52" s="82">
        <v>-925</v>
      </c>
      <c r="G52" s="83">
        <v>-1081</v>
      </c>
      <c r="H52" s="82">
        <v>-982</v>
      </c>
      <c r="I52" s="83">
        <v>-1011</v>
      </c>
      <c r="J52" s="83">
        <v>-1080</v>
      </c>
      <c r="K52" s="83">
        <v>-1176</v>
      </c>
      <c r="L52" s="83">
        <v>-1494</v>
      </c>
      <c r="M52" s="83">
        <v>-1835</v>
      </c>
      <c r="N52" s="83">
        <v>-1396</v>
      </c>
    </row>
    <row r="53" spans="2:14">
      <c r="B53" s="77" t="s">
        <v>206</v>
      </c>
      <c r="C53" s="78">
        <v>-586</v>
      </c>
      <c r="D53" s="78">
        <v>-465</v>
      </c>
      <c r="E53" s="78">
        <v>-866</v>
      </c>
      <c r="F53" s="78">
        <v>-681</v>
      </c>
      <c r="G53" s="79">
        <v>-1556</v>
      </c>
      <c r="H53" s="78">
        <v>-918</v>
      </c>
      <c r="I53" s="78">
        <v>-518</v>
      </c>
      <c r="J53" s="79">
        <v>-541</v>
      </c>
      <c r="K53" s="78">
        <v>-317</v>
      </c>
      <c r="L53" s="79">
        <v>-1282</v>
      </c>
      <c r="M53" s="79">
        <v>-2548</v>
      </c>
      <c r="N53" s="78">
        <v>-941</v>
      </c>
    </row>
    <row r="54" spans="2:14">
      <c r="B54" s="81" t="s">
        <v>151</v>
      </c>
      <c r="C54" s="82">
        <v>-251</v>
      </c>
      <c r="D54" s="82">
        <v>-454</v>
      </c>
      <c r="E54" s="82">
        <v>-817</v>
      </c>
      <c r="F54" s="82">
        <v>-684</v>
      </c>
      <c r="G54" s="83">
        <v>-1426</v>
      </c>
      <c r="H54" s="83">
        <v>-1151</v>
      </c>
      <c r="I54" s="82">
        <v>-404</v>
      </c>
      <c r="J54" s="83">
        <v>-282</v>
      </c>
      <c r="K54" s="83">
        <v>-551</v>
      </c>
      <c r="L54" s="83">
        <v>-1446</v>
      </c>
      <c r="M54" s="83">
        <v>-2496</v>
      </c>
      <c r="N54" s="83">
        <v>-1830</v>
      </c>
    </row>
    <row r="55" spans="2:14">
      <c r="B55" s="81" t="s">
        <v>152</v>
      </c>
      <c r="C55" s="82">
        <v>16</v>
      </c>
      <c r="D55" s="82">
        <v>16</v>
      </c>
      <c r="E55" s="82">
        <v>15</v>
      </c>
      <c r="F55" s="82">
        <v>17</v>
      </c>
      <c r="G55" s="82">
        <v>17</v>
      </c>
      <c r="H55" s="82">
        <v>17</v>
      </c>
      <c r="I55" s="82">
        <v>37</v>
      </c>
      <c r="J55" s="82">
        <v>28</v>
      </c>
      <c r="K55" s="82">
        <v>40</v>
      </c>
      <c r="L55" s="82">
        <v>26</v>
      </c>
      <c r="M55" s="82">
        <v>5</v>
      </c>
      <c r="N55" s="82">
        <v>10</v>
      </c>
    </row>
    <row r="56" spans="2:14">
      <c r="B56" s="81" t="s">
        <v>153</v>
      </c>
      <c r="C56" s="82">
        <v>-872</v>
      </c>
      <c r="D56" s="82">
        <v>-243</v>
      </c>
      <c r="E56" s="82">
        <v>-282</v>
      </c>
      <c r="F56" s="82">
        <v>-153</v>
      </c>
      <c r="G56" s="82">
        <v>-320</v>
      </c>
      <c r="H56" s="82">
        <v>-573</v>
      </c>
      <c r="I56" s="82">
        <v>-25</v>
      </c>
      <c r="J56" s="82">
        <v>-140</v>
      </c>
      <c r="K56" s="82">
        <v>0</v>
      </c>
      <c r="L56" s="82">
        <v>-146</v>
      </c>
      <c r="M56" s="82">
        <v>-212</v>
      </c>
      <c r="N56" s="82">
        <v>-1</v>
      </c>
    </row>
    <row r="57" spans="2:14">
      <c r="B57" s="81" t="s">
        <v>154</v>
      </c>
      <c r="C57" s="82">
        <v>463</v>
      </c>
      <c r="D57" s="82">
        <v>278</v>
      </c>
      <c r="E57" s="82">
        <v>205</v>
      </c>
      <c r="F57" s="82">
        <v>357</v>
      </c>
      <c r="G57" s="82">
        <v>362</v>
      </c>
      <c r="H57" s="82">
        <v>733</v>
      </c>
      <c r="I57" s="82">
        <v>134</v>
      </c>
      <c r="J57" s="82">
        <v>272</v>
      </c>
      <c r="K57" s="82">
        <v>207</v>
      </c>
      <c r="L57" s="82">
        <v>446</v>
      </c>
      <c r="M57" s="82">
        <v>240</v>
      </c>
      <c r="N57" s="82">
        <v>421</v>
      </c>
    </row>
    <row r="58" spans="2:14">
      <c r="B58" s="81" t="s">
        <v>155</v>
      </c>
      <c r="C58" s="82">
        <v>14</v>
      </c>
      <c r="D58" s="82">
        <v>11</v>
      </c>
      <c r="E58" s="82">
        <v>15</v>
      </c>
      <c r="F58" s="82">
        <v>32</v>
      </c>
      <c r="G58" s="82">
        <v>39</v>
      </c>
      <c r="H58" s="82">
        <v>40</v>
      </c>
      <c r="I58" s="82">
        <v>65</v>
      </c>
      <c r="J58" s="82">
        <v>73</v>
      </c>
      <c r="K58" s="82">
        <v>77</v>
      </c>
      <c r="L58" s="82">
        <v>87</v>
      </c>
      <c r="M58" s="82">
        <v>135</v>
      </c>
      <c r="N58" s="82">
        <v>155</v>
      </c>
    </row>
    <row r="59" spans="2:14">
      <c r="B59" s="81" t="s">
        <v>156</v>
      </c>
      <c r="C59" s="82">
        <v>65</v>
      </c>
      <c r="D59" s="82">
        <v>71</v>
      </c>
      <c r="E59" s="82">
        <v>69</v>
      </c>
      <c r="F59" s="82">
        <v>74</v>
      </c>
      <c r="G59" s="82">
        <v>38</v>
      </c>
      <c r="H59" s="82">
        <v>40</v>
      </c>
      <c r="I59" s="82">
        <v>27</v>
      </c>
      <c r="J59" s="82">
        <v>8</v>
      </c>
      <c r="K59" s="82">
        <v>15</v>
      </c>
      <c r="L59" s="82">
        <v>56</v>
      </c>
      <c r="M59" s="82">
        <v>129</v>
      </c>
      <c r="N59" s="82">
        <v>136</v>
      </c>
    </row>
    <row r="60" spans="2:14">
      <c r="B60" s="81" t="s">
        <v>207</v>
      </c>
      <c r="C60" s="82">
        <v>0</v>
      </c>
      <c r="D60" s="82">
        <v>0</v>
      </c>
      <c r="E60" s="82">
        <v>0</v>
      </c>
      <c r="F60" s="82">
        <v>0</v>
      </c>
      <c r="G60" s="82">
        <v>0</v>
      </c>
      <c r="H60" s="82">
        <v>0</v>
      </c>
      <c r="I60" s="82">
        <v>0</v>
      </c>
      <c r="J60" s="82">
        <v>0</v>
      </c>
      <c r="K60" s="82">
        <v>0</v>
      </c>
      <c r="L60" s="82">
        <v>-180</v>
      </c>
      <c r="M60" s="82">
        <v>0</v>
      </c>
      <c r="N60" s="82">
        <v>0</v>
      </c>
    </row>
    <row r="61" spans="2:14">
      <c r="B61" s="81" t="s">
        <v>157</v>
      </c>
      <c r="C61" s="82">
        <v>0</v>
      </c>
      <c r="D61" s="82">
        <v>0</v>
      </c>
      <c r="E61" s="82">
        <v>0</v>
      </c>
      <c r="F61" s="82">
        <v>0</v>
      </c>
      <c r="G61" s="82">
        <v>141</v>
      </c>
      <c r="H61" s="82">
        <v>0</v>
      </c>
      <c r="I61" s="82">
        <v>0</v>
      </c>
      <c r="J61" s="82">
        <v>0</v>
      </c>
      <c r="K61" s="82">
        <v>0</v>
      </c>
      <c r="L61" s="82">
        <v>0</v>
      </c>
      <c r="M61" s="82">
        <v>0</v>
      </c>
      <c r="N61" s="82">
        <v>38</v>
      </c>
    </row>
    <row r="62" spans="2:14">
      <c r="B62" s="81" t="s">
        <v>158</v>
      </c>
      <c r="C62" s="82">
        <v>0</v>
      </c>
      <c r="D62" s="82">
        <v>0</v>
      </c>
      <c r="E62" s="82">
        <v>0</v>
      </c>
      <c r="F62" s="82">
        <v>0</v>
      </c>
      <c r="G62" s="82">
        <v>-525</v>
      </c>
      <c r="H62" s="82">
        <v>0</v>
      </c>
      <c r="I62" s="82">
        <v>0</v>
      </c>
      <c r="J62" s="82">
        <v>0</v>
      </c>
      <c r="K62" s="82">
        <v>0</v>
      </c>
      <c r="L62" s="82">
        <v>0</v>
      </c>
      <c r="M62" s="82">
        <v>0</v>
      </c>
      <c r="N62" s="82">
        <v>0</v>
      </c>
    </row>
    <row r="63" spans="2:14">
      <c r="B63" s="77" t="s">
        <v>159</v>
      </c>
      <c r="C63" s="78">
        <v>-21</v>
      </c>
      <c r="D63" s="78">
        <v>-144</v>
      </c>
      <c r="E63" s="78">
        <v>-70</v>
      </c>
      <c r="F63" s="78">
        <v>-324</v>
      </c>
      <c r="G63" s="78">
        <v>118</v>
      </c>
      <c r="H63" s="78">
        <v>-24</v>
      </c>
      <c r="I63" s="78">
        <v>-353</v>
      </c>
      <c r="J63" s="79">
        <v>-500</v>
      </c>
      <c r="K63" s="79">
        <v>-105</v>
      </c>
      <c r="L63" s="79">
        <v>-126</v>
      </c>
      <c r="M63" s="78">
        <v>-350</v>
      </c>
      <c r="N63" s="79">
        <v>130</v>
      </c>
    </row>
    <row r="64" spans="2:14">
      <c r="B64" s="81" t="s">
        <v>208</v>
      </c>
      <c r="C64" s="82">
        <v>-626</v>
      </c>
      <c r="D64" s="82">
        <v>-576</v>
      </c>
      <c r="E64" s="82">
        <v>-849</v>
      </c>
      <c r="F64" s="82">
        <v>-756</v>
      </c>
      <c r="G64" s="83">
        <v>-1379</v>
      </c>
      <c r="H64" s="83">
        <v>-1117</v>
      </c>
      <c r="I64" s="83">
        <v>-2871</v>
      </c>
      <c r="J64" s="82">
        <v>-650</v>
      </c>
      <c r="K64" s="83">
        <v>-1808</v>
      </c>
      <c r="L64" s="83">
        <v>-2140</v>
      </c>
      <c r="M64" s="83">
        <v>-2982</v>
      </c>
      <c r="N64" s="83">
        <v>-3753</v>
      </c>
    </row>
    <row r="65" spans="2:14">
      <c r="B65" s="81" t="s">
        <v>209</v>
      </c>
      <c r="C65" s="82">
        <v>0</v>
      </c>
      <c r="D65" s="82">
        <v>0</v>
      </c>
      <c r="E65" s="82">
        <v>0</v>
      </c>
      <c r="F65" s="82">
        <v>0</v>
      </c>
      <c r="G65" s="82">
        <v>0</v>
      </c>
      <c r="H65" s="82">
        <v>0</v>
      </c>
      <c r="I65" s="82">
        <v>0</v>
      </c>
      <c r="J65" s="82">
        <v>0</v>
      </c>
      <c r="K65" s="82">
        <v>0</v>
      </c>
      <c r="L65" s="82">
        <v>0</v>
      </c>
      <c r="M65" s="82">
        <v>1</v>
      </c>
      <c r="N65" s="82">
        <v>0</v>
      </c>
    </row>
    <row r="66" spans="2:14">
      <c r="B66" s="81" t="s">
        <v>160</v>
      </c>
      <c r="C66" s="82">
        <v>44</v>
      </c>
      <c r="D66" s="82">
        <v>239</v>
      </c>
      <c r="E66" s="82">
        <v>8</v>
      </c>
      <c r="F66" s="82">
        <v>271</v>
      </c>
      <c r="G66" s="82">
        <v>10</v>
      </c>
      <c r="H66" s="82">
        <v>243</v>
      </c>
      <c r="I66" s="82">
        <v>18</v>
      </c>
      <c r="J66" s="82">
        <v>155</v>
      </c>
      <c r="K66" s="82">
        <v>418</v>
      </c>
      <c r="L66" s="82">
        <v>254</v>
      </c>
      <c r="M66" s="82">
        <v>101</v>
      </c>
      <c r="N66" s="82">
        <v>415</v>
      </c>
    </row>
    <row r="67" spans="2:14">
      <c r="B67" s="81" t="s">
        <v>161</v>
      </c>
      <c r="C67" s="82">
        <v>-81</v>
      </c>
      <c r="D67" s="82">
        <v>-86</v>
      </c>
      <c r="E67" s="82">
        <v>-119</v>
      </c>
      <c r="F67" s="82">
        <v>-58</v>
      </c>
      <c r="G67" s="82">
        <v>-54</v>
      </c>
      <c r="H67" s="82">
        <v>-26</v>
      </c>
      <c r="I67" s="82">
        <v>-279</v>
      </c>
      <c r="J67" s="83">
        <v>-14</v>
      </c>
      <c r="K67" s="83">
        <v>-8</v>
      </c>
      <c r="L67" s="83">
        <v>-25</v>
      </c>
      <c r="M67" s="82">
        <v>-98</v>
      </c>
      <c r="N67" s="83">
        <v>-428</v>
      </c>
    </row>
    <row r="68" spans="2:14">
      <c r="B68" s="81" t="s">
        <v>162</v>
      </c>
      <c r="C68" s="82">
        <v>-42</v>
      </c>
      <c r="D68" s="82">
        <v>-35</v>
      </c>
      <c r="E68" s="82">
        <v>-40</v>
      </c>
      <c r="F68" s="82">
        <v>-36</v>
      </c>
      <c r="G68" s="82">
        <v>-35</v>
      </c>
      <c r="H68" s="82">
        <v>-106</v>
      </c>
      <c r="I68" s="82">
        <v>-101</v>
      </c>
      <c r="J68" s="82">
        <v>-89</v>
      </c>
      <c r="K68" s="82">
        <v>-94</v>
      </c>
      <c r="L68" s="82">
        <v>-142</v>
      </c>
      <c r="M68" s="82">
        <v>-191</v>
      </c>
      <c r="N68" s="82">
        <v>-203</v>
      </c>
    </row>
    <row r="69" spans="2:14">
      <c r="B69" s="81" t="s">
        <v>163</v>
      </c>
      <c r="C69" s="82">
        <v>-547</v>
      </c>
      <c r="D69" s="82">
        <v>-695</v>
      </c>
      <c r="E69" s="82">
        <v>-764</v>
      </c>
      <c r="F69" s="82">
        <v>-947</v>
      </c>
      <c r="G69" s="83">
        <v>-1218</v>
      </c>
      <c r="H69" s="83">
        <v>-1049</v>
      </c>
      <c r="I69" s="83">
        <v>-2121</v>
      </c>
      <c r="J69" s="82">
        <v>-499</v>
      </c>
      <c r="K69" s="83">
        <v>-1763</v>
      </c>
      <c r="L69" s="83">
        <v>-1936</v>
      </c>
      <c r="M69" s="83">
        <v>-2551</v>
      </c>
      <c r="N69" s="83">
        <v>-3140</v>
      </c>
    </row>
    <row r="70" spans="2:14">
      <c r="B70" s="77" t="s">
        <v>164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-180</v>
      </c>
      <c r="I70" s="78">
        <v>-179</v>
      </c>
      <c r="J70" s="78">
        <v>-203</v>
      </c>
      <c r="K70" s="78">
        <v>-221</v>
      </c>
      <c r="L70" s="78">
        <v>-256</v>
      </c>
      <c r="M70" s="79">
        <v>-286</v>
      </c>
      <c r="N70" s="79">
        <v>-325</v>
      </c>
    </row>
    <row r="71" spans="2:14">
      <c r="B71" t="s">
        <v>165</v>
      </c>
      <c r="C71">
        <v>0</v>
      </c>
      <c r="D71">
        <v>0</v>
      </c>
      <c r="E71">
        <v>66</v>
      </c>
      <c r="F71">
        <v>13</v>
      </c>
      <c r="G71">
        <v>-82</v>
      </c>
      <c r="H71">
        <v>0</v>
      </c>
      <c r="I71">
        <v>-209</v>
      </c>
      <c r="J71">
        <v>0</v>
      </c>
      <c r="K71">
        <v>-140</v>
      </c>
      <c r="L71">
        <v>-36</v>
      </c>
      <c r="M71">
        <v>41</v>
      </c>
      <c r="N71">
        <v>-72</v>
      </c>
    </row>
    <row r="72" spans="2:14">
      <c r="B72" t="s">
        <v>66</v>
      </c>
      <c r="C72">
        <v>190</v>
      </c>
      <c r="D72">
        <v>147</v>
      </c>
      <c r="E72">
        <v>528</v>
      </c>
      <c r="F72">
        <v>90</v>
      </c>
      <c r="G72">
        <v>-822</v>
      </c>
      <c r="H72">
        <v>434</v>
      </c>
      <c r="I72">
        <v>-351</v>
      </c>
      <c r="J72" s="61">
        <v>2492</v>
      </c>
      <c r="K72" s="61">
        <v>-1138</v>
      </c>
      <c r="L72">
        <v>771</v>
      </c>
      <c r="M72">
        <v>573</v>
      </c>
      <c r="N72">
        <v>-270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DCF&gt;</vt:lpstr>
      <vt:lpstr>WACC</vt:lpstr>
      <vt:lpstr>Data&gt;</vt:lpstr>
      <vt:lpstr>Beta - Comps</vt:lpstr>
      <vt:lpstr>Intrisic Growth</vt:lpstr>
      <vt:lpstr>DCF</vt:lpstr>
      <vt:lpstr>Data Room&gt;</vt:lpstr>
      <vt:lpstr>Data Sheet</vt:lpstr>
      <vt:lpstr>Raw FS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Akhtar</cp:lastModifiedBy>
  <cp:lastPrinted>2023-03-21T18:51:24Z</cp:lastPrinted>
  <dcterms:created xsi:type="dcterms:W3CDTF">2023-02-06T14:53:36Z</dcterms:created>
  <dcterms:modified xsi:type="dcterms:W3CDTF">2025-06-20T14:56:33Z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{1EE99B22-FCBF-4602-91E6-C0830BFCF47D}</vt:lpwstr>
  </property>
</Properties>
</file>