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F:\chrome Downloads\nasim project\"/>
    </mc:Choice>
  </mc:AlternateContent>
  <bookViews>
    <workbookView xWindow="0" yWindow="0" windowWidth="20490" windowHeight="7620" activeTab="3"/>
  </bookViews>
  <sheets>
    <sheet name="Data Sheet" sheetId="6" r:id="rId1"/>
    <sheet name="Cash Flow Data" sheetId="8" r:id="rId2"/>
    <sheet name="FS Analysis" sheetId="7" r:id="rId3"/>
    <sheet name="DU Pont " sheetId="9" r:id="rId4"/>
  </sheets>
  <externalReferences>
    <externalReference r:id="rId5"/>
  </externalReferences>
  <definedNames>
    <definedName name="UPDATE">'Data Sheet'!$E$1</definedName>
  </definedNames>
  <calcPr calcId="162913"/>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FV"/>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80" i="9" l="1"/>
  <c r="E80" i="9"/>
  <c r="E83" i="9" s="1"/>
  <c r="F80" i="9"/>
  <c r="G80" i="9"/>
  <c r="G83" i="9" s="1"/>
  <c r="H80" i="9"/>
  <c r="I80" i="9"/>
  <c r="I92" i="9" s="1"/>
  <c r="I102" i="9" s="1"/>
  <c r="H92" i="9"/>
  <c r="H102" i="9" s="1"/>
  <c r="D92" i="9"/>
  <c r="D102" i="9" s="1"/>
  <c r="F92" i="9"/>
  <c r="F102" i="9" s="1"/>
  <c r="C80" i="9"/>
  <c r="C83" i="9" s="1"/>
  <c r="I76" i="9"/>
  <c r="H76" i="9"/>
  <c r="H79" i="9" s="1"/>
  <c r="H98" i="9" s="1"/>
  <c r="H101" i="9" s="1"/>
  <c r="G76" i="9"/>
  <c r="F76" i="9"/>
  <c r="F79" i="9" s="1"/>
  <c r="F98" i="9" s="1"/>
  <c r="F101" i="9" s="1"/>
  <c r="E76" i="9"/>
  <c r="D76" i="9"/>
  <c r="D79" i="9" s="1"/>
  <c r="D98" i="9" s="1"/>
  <c r="D101" i="9" s="1"/>
  <c r="C76" i="9"/>
  <c r="I70" i="9"/>
  <c r="I84" i="9" s="1"/>
  <c r="H70" i="9"/>
  <c r="G70" i="9"/>
  <c r="G84" i="9" s="1"/>
  <c r="F70" i="9"/>
  <c r="E70" i="9"/>
  <c r="E84" i="9" s="1"/>
  <c r="D70" i="9"/>
  <c r="C70" i="9"/>
  <c r="C84" i="9" s="1"/>
  <c r="I69" i="9"/>
  <c r="H69" i="9"/>
  <c r="H75" i="9" s="1"/>
  <c r="G69" i="9"/>
  <c r="F69" i="9"/>
  <c r="F75" i="9" s="1"/>
  <c r="E69" i="9"/>
  <c r="D69" i="9"/>
  <c r="D75" i="9" s="1"/>
  <c r="C69" i="9"/>
  <c r="I68" i="9"/>
  <c r="I74" i="9" s="1"/>
  <c r="I90" i="9" s="1"/>
  <c r="I96" i="9" s="1"/>
  <c r="H68" i="9"/>
  <c r="G68" i="9"/>
  <c r="G74" i="9" s="1"/>
  <c r="G90" i="9" s="1"/>
  <c r="G96" i="9" s="1"/>
  <c r="F68" i="9"/>
  <c r="E68" i="9"/>
  <c r="E74" i="9" s="1"/>
  <c r="E90" i="9" s="1"/>
  <c r="E96" i="9" s="1"/>
  <c r="D68" i="9"/>
  <c r="C68" i="9"/>
  <c r="C74" i="9" s="1"/>
  <c r="C90" i="9" s="1"/>
  <c r="C96" i="9" s="1"/>
  <c r="B5" i="9"/>
  <c r="B97" i="9"/>
  <c r="H84" i="9"/>
  <c r="D84" i="9"/>
  <c r="B84" i="9"/>
  <c r="B83" i="9"/>
  <c r="B92" i="9" s="1"/>
  <c r="I79" i="9"/>
  <c r="G79" i="9"/>
  <c r="E79" i="9"/>
  <c r="C79" i="9"/>
  <c r="G75" i="9"/>
  <c r="G91" i="9" s="1"/>
  <c r="C75" i="9"/>
  <c r="C91" i="9" s="1"/>
  <c r="B75" i="9"/>
  <c r="F84" i="9"/>
  <c r="H74" i="9"/>
  <c r="H90" i="9" s="1"/>
  <c r="H96" i="9" s="1"/>
  <c r="F74" i="9"/>
  <c r="F90" i="9" s="1"/>
  <c r="F96" i="9" s="1"/>
  <c r="D74" i="9"/>
  <c r="D90" i="9" s="1"/>
  <c r="D96" i="9" s="1"/>
  <c r="B3" i="9"/>
  <c r="C81" i="9" l="1"/>
  <c r="E92" i="9"/>
  <c r="E102" i="9" s="1"/>
  <c r="E81" i="9"/>
  <c r="G81" i="9"/>
  <c r="I81" i="9"/>
  <c r="I83" i="9"/>
  <c r="I85" i="9" s="1"/>
  <c r="C71" i="9"/>
  <c r="E71" i="9"/>
  <c r="G71" i="9"/>
  <c r="I71" i="9"/>
  <c r="E75" i="9"/>
  <c r="E91" i="9" s="1"/>
  <c r="E97" i="9" s="1"/>
  <c r="I75" i="9"/>
  <c r="I91" i="9" s="1"/>
  <c r="I97" i="9" s="1"/>
  <c r="C92" i="9"/>
  <c r="C102" i="9" s="1"/>
  <c r="G92" i="9"/>
  <c r="G102" i="9" s="1"/>
  <c r="D77" i="9"/>
  <c r="D91" i="9"/>
  <c r="D93" i="9" s="1"/>
  <c r="F77" i="9"/>
  <c r="F91" i="9"/>
  <c r="F93" i="9" s="1"/>
  <c r="H77" i="9"/>
  <c r="H91" i="9"/>
  <c r="H93" i="9" s="1"/>
  <c r="D103" i="9"/>
  <c r="F103" i="9"/>
  <c r="H103" i="9"/>
  <c r="C85" i="9"/>
  <c r="E85" i="9"/>
  <c r="G85" i="9"/>
  <c r="H71" i="9"/>
  <c r="C98" i="9"/>
  <c r="C101" i="9" s="1"/>
  <c r="G98" i="9"/>
  <c r="G101" i="9" s="1"/>
  <c r="D71" i="9"/>
  <c r="F71" i="9"/>
  <c r="D83" i="9"/>
  <c r="D85" i="9" s="1"/>
  <c r="F83" i="9"/>
  <c r="F85" i="9" s="1"/>
  <c r="H83" i="9"/>
  <c r="H85" i="9" s="1"/>
  <c r="E98" i="9"/>
  <c r="E101" i="9" s="1"/>
  <c r="I98" i="9"/>
  <c r="I101" i="9" s="1"/>
  <c r="F81" i="9"/>
  <c r="C97" i="9"/>
  <c r="G97" i="9"/>
  <c r="G99" i="9" s="1"/>
  <c r="C77" i="9"/>
  <c r="G77" i="9"/>
  <c r="D81" i="9"/>
  <c r="H81" i="9"/>
  <c r="I103" i="9"/>
  <c r="B2" i="7"/>
  <c r="L104" i="7"/>
  <c r="K104" i="7"/>
  <c r="J104" i="7"/>
  <c r="I104" i="7"/>
  <c r="H104" i="7"/>
  <c r="G104" i="7"/>
  <c r="F104" i="7"/>
  <c r="E104" i="7"/>
  <c r="D104" i="7"/>
  <c r="C104" i="7"/>
  <c r="B104" i="7"/>
  <c r="L101" i="7"/>
  <c r="K101" i="7"/>
  <c r="J101" i="7"/>
  <c r="I101" i="7"/>
  <c r="H101" i="7"/>
  <c r="G101" i="7"/>
  <c r="F101" i="7"/>
  <c r="E101" i="7"/>
  <c r="D101" i="7"/>
  <c r="C101" i="7"/>
  <c r="B101" i="7"/>
  <c r="L100" i="7"/>
  <c r="K100" i="7"/>
  <c r="J100" i="7"/>
  <c r="I100" i="7"/>
  <c r="H100" i="7"/>
  <c r="G100" i="7"/>
  <c r="F100" i="7"/>
  <c r="E100" i="7"/>
  <c r="D100" i="7"/>
  <c r="C100" i="7"/>
  <c r="B100" i="7"/>
  <c r="L99" i="7"/>
  <c r="K99" i="7"/>
  <c r="J99" i="7"/>
  <c r="I99" i="7"/>
  <c r="H99" i="7"/>
  <c r="G99" i="7"/>
  <c r="F99" i="7"/>
  <c r="E99" i="7"/>
  <c r="D99" i="7"/>
  <c r="C99" i="7"/>
  <c r="B99" i="7"/>
  <c r="L98" i="7"/>
  <c r="K98" i="7"/>
  <c r="J98" i="7"/>
  <c r="I98" i="7"/>
  <c r="H98" i="7"/>
  <c r="G98" i="7"/>
  <c r="F98" i="7"/>
  <c r="E98" i="7"/>
  <c r="D98" i="7"/>
  <c r="C98" i="7"/>
  <c r="B98" i="7"/>
  <c r="L97" i="7"/>
  <c r="K97" i="7"/>
  <c r="J97" i="7"/>
  <c r="I97" i="7"/>
  <c r="H97" i="7"/>
  <c r="G97" i="7"/>
  <c r="F97" i="7"/>
  <c r="E97" i="7"/>
  <c r="D97" i="7"/>
  <c r="C97" i="7"/>
  <c r="B97" i="7"/>
  <c r="L96" i="7"/>
  <c r="K96" i="7"/>
  <c r="K102" i="7" s="1"/>
  <c r="J96" i="7"/>
  <c r="I96" i="7"/>
  <c r="I102" i="7" s="1"/>
  <c r="H96" i="7"/>
  <c r="G96" i="7"/>
  <c r="G102" i="7" s="1"/>
  <c r="F96" i="7"/>
  <c r="E96" i="7"/>
  <c r="E102" i="7" s="1"/>
  <c r="D96" i="7"/>
  <c r="C96" i="7"/>
  <c r="C102" i="7" s="1"/>
  <c r="B96" i="7"/>
  <c r="L95" i="7"/>
  <c r="L102" i="7" s="1"/>
  <c r="K95" i="7"/>
  <c r="J95" i="7"/>
  <c r="J102" i="7" s="1"/>
  <c r="I95" i="7"/>
  <c r="H95" i="7"/>
  <c r="H102" i="7" s="1"/>
  <c r="G95" i="7"/>
  <c r="F95" i="7"/>
  <c r="F102" i="7" s="1"/>
  <c r="E95" i="7"/>
  <c r="D95" i="7"/>
  <c r="D102" i="7" s="1"/>
  <c r="C95" i="7"/>
  <c r="B95" i="7"/>
  <c r="L91" i="7"/>
  <c r="K91" i="7"/>
  <c r="J91" i="7"/>
  <c r="I91" i="7"/>
  <c r="H91" i="7"/>
  <c r="G91" i="7"/>
  <c r="F91" i="7"/>
  <c r="E91" i="7"/>
  <c r="D91" i="7"/>
  <c r="C91" i="7"/>
  <c r="B91" i="7"/>
  <c r="L90" i="7"/>
  <c r="K90" i="7"/>
  <c r="J90" i="7"/>
  <c r="I90" i="7"/>
  <c r="H90" i="7"/>
  <c r="G90" i="7"/>
  <c r="F90" i="7"/>
  <c r="E90" i="7"/>
  <c r="D90" i="7"/>
  <c r="C90" i="7"/>
  <c r="B90" i="7"/>
  <c r="L89" i="7"/>
  <c r="K89" i="7"/>
  <c r="J89" i="7"/>
  <c r="I89" i="7"/>
  <c r="H89" i="7"/>
  <c r="G89" i="7"/>
  <c r="F89" i="7"/>
  <c r="E89" i="7"/>
  <c r="D89" i="7"/>
  <c r="C89" i="7"/>
  <c r="B89" i="7"/>
  <c r="L88" i="7"/>
  <c r="K88" i="7"/>
  <c r="J88" i="7"/>
  <c r="I88" i="7"/>
  <c r="H88" i="7"/>
  <c r="G88" i="7"/>
  <c r="F88" i="7"/>
  <c r="E88" i="7"/>
  <c r="D88" i="7"/>
  <c r="C88" i="7"/>
  <c r="B88" i="7"/>
  <c r="L87" i="7"/>
  <c r="K87" i="7"/>
  <c r="J87" i="7"/>
  <c r="I87" i="7"/>
  <c r="H87" i="7"/>
  <c r="G87" i="7"/>
  <c r="F87" i="7"/>
  <c r="E87" i="7"/>
  <c r="D87" i="7"/>
  <c r="C87" i="7"/>
  <c r="B87" i="7"/>
  <c r="L86" i="7"/>
  <c r="K86" i="7"/>
  <c r="J86" i="7"/>
  <c r="I86" i="7"/>
  <c r="H86" i="7"/>
  <c r="G86" i="7"/>
  <c r="F86" i="7"/>
  <c r="E86" i="7"/>
  <c r="D86" i="7"/>
  <c r="C86" i="7"/>
  <c r="B86" i="7"/>
  <c r="L85" i="7"/>
  <c r="K85" i="7"/>
  <c r="J85" i="7"/>
  <c r="I85" i="7"/>
  <c r="H85" i="7"/>
  <c r="G85" i="7"/>
  <c r="F85" i="7"/>
  <c r="E85" i="7"/>
  <c r="D85" i="7"/>
  <c r="C85" i="7"/>
  <c r="B85" i="7"/>
  <c r="L84" i="7"/>
  <c r="K84" i="7"/>
  <c r="J84" i="7"/>
  <c r="I84" i="7"/>
  <c r="H84" i="7"/>
  <c r="G84" i="7"/>
  <c r="F84" i="7"/>
  <c r="E84" i="7"/>
  <c r="D84" i="7"/>
  <c r="C84" i="7"/>
  <c r="B84" i="7"/>
  <c r="L83" i="7"/>
  <c r="K83" i="7"/>
  <c r="J83" i="7"/>
  <c r="I83" i="7"/>
  <c r="H83" i="7"/>
  <c r="G83" i="7"/>
  <c r="F83" i="7"/>
  <c r="E83" i="7"/>
  <c r="D83" i="7"/>
  <c r="C83" i="7"/>
  <c r="B83" i="7"/>
  <c r="L82" i="7"/>
  <c r="K82" i="7"/>
  <c r="J82" i="7"/>
  <c r="I82" i="7"/>
  <c r="H82" i="7"/>
  <c r="G82" i="7"/>
  <c r="F82" i="7"/>
  <c r="E82" i="7"/>
  <c r="D82" i="7"/>
  <c r="C82" i="7"/>
  <c r="B82" i="7"/>
  <c r="L81" i="7"/>
  <c r="K81" i="7"/>
  <c r="K92" i="7" s="1"/>
  <c r="J81" i="7"/>
  <c r="I81" i="7"/>
  <c r="I92" i="7" s="1"/>
  <c r="H81" i="7"/>
  <c r="G81" i="7"/>
  <c r="G92" i="7" s="1"/>
  <c r="F81" i="7"/>
  <c r="E81" i="7"/>
  <c r="E92" i="7" s="1"/>
  <c r="D81" i="7"/>
  <c r="C81" i="7"/>
  <c r="C92" i="7" s="1"/>
  <c r="B81" i="7"/>
  <c r="L80" i="7"/>
  <c r="L92" i="7" s="1"/>
  <c r="K80" i="7"/>
  <c r="J80" i="7"/>
  <c r="J92" i="7" s="1"/>
  <c r="I80" i="7"/>
  <c r="H80" i="7"/>
  <c r="H92" i="7" s="1"/>
  <c r="G80" i="7"/>
  <c r="F80" i="7"/>
  <c r="F92" i="7" s="1"/>
  <c r="E80" i="7"/>
  <c r="D80" i="7"/>
  <c r="D92" i="7" s="1"/>
  <c r="C80" i="7"/>
  <c r="B80" i="7"/>
  <c r="L76" i="7"/>
  <c r="K76" i="7"/>
  <c r="J76" i="7"/>
  <c r="I76" i="7"/>
  <c r="H76" i="7"/>
  <c r="G76" i="7"/>
  <c r="F76" i="7"/>
  <c r="E76" i="7"/>
  <c r="D76" i="7"/>
  <c r="C76" i="7"/>
  <c r="B76" i="7"/>
  <c r="L75" i="7"/>
  <c r="K75" i="7"/>
  <c r="J75" i="7"/>
  <c r="I75" i="7"/>
  <c r="H75" i="7"/>
  <c r="G75" i="7"/>
  <c r="F75" i="7"/>
  <c r="E75" i="7"/>
  <c r="D75" i="7"/>
  <c r="C75" i="7"/>
  <c r="B75" i="7"/>
  <c r="L74" i="7"/>
  <c r="K74" i="7"/>
  <c r="J74" i="7"/>
  <c r="I74" i="7"/>
  <c r="H74" i="7"/>
  <c r="G74" i="7"/>
  <c r="F74" i="7"/>
  <c r="E74" i="7"/>
  <c r="D74" i="7"/>
  <c r="C74" i="7"/>
  <c r="B74" i="7"/>
  <c r="L73" i="7"/>
  <c r="K73" i="7"/>
  <c r="J73" i="7"/>
  <c r="I73" i="7"/>
  <c r="H73" i="7"/>
  <c r="G73" i="7"/>
  <c r="F73" i="7"/>
  <c r="E73" i="7"/>
  <c r="D73" i="7"/>
  <c r="C73" i="7"/>
  <c r="B73" i="7"/>
  <c r="L72" i="7"/>
  <c r="K72" i="7"/>
  <c r="J72" i="7"/>
  <c r="I72" i="7"/>
  <c r="H72" i="7"/>
  <c r="G72" i="7"/>
  <c r="F72" i="7"/>
  <c r="E72" i="7"/>
  <c r="D72" i="7"/>
  <c r="C72" i="7"/>
  <c r="B72" i="7"/>
  <c r="L71" i="7"/>
  <c r="K71" i="7"/>
  <c r="J71" i="7"/>
  <c r="I71" i="7"/>
  <c r="H71" i="7"/>
  <c r="G71" i="7"/>
  <c r="F71" i="7"/>
  <c r="E71" i="7"/>
  <c r="D71" i="7"/>
  <c r="C71" i="7"/>
  <c r="B71" i="7"/>
  <c r="L70" i="7"/>
  <c r="K70" i="7"/>
  <c r="J70" i="7"/>
  <c r="I70" i="7"/>
  <c r="H70" i="7"/>
  <c r="G70" i="7"/>
  <c r="F70" i="7"/>
  <c r="E70" i="7"/>
  <c r="D70" i="7"/>
  <c r="C70" i="7"/>
  <c r="B70" i="7"/>
  <c r="L69" i="7"/>
  <c r="L77" i="7" s="1"/>
  <c r="K69" i="7"/>
  <c r="J69" i="7"/>
  <c r="J77" i="7" s="1"/>
  <c r="I69" i="7"/>
  <c r="H69" i="7"/>
  <c r="H77" i="7" s="1"/>
  <c r="G69" i="7"/>
  <c r="F69" i="7"/>
  <c r="F77" i="7" s="1"/>
  <c r="E69" i="7"/>
  <c r="D69" i="7"/>
  <c r="D77" i="7" s="1"/>
  <c r="C69" i="7"/>
  <c r="B69" i="7"/>
  <c r="M6" i="8"/>
  <c r="L55" i="7"/>
  <c r="K55" i="7"/>
  <c r="J55" i="7"/>
  <c r="I55" i="7"/>
  <c r="H55" i="7"/>
  <c r="G55" i="7"/>
  <c r="F55" i="7"/>
  <c r="E55" i="7"/>
  <c r="D55" i="7"/>
  <c r="C55" i="7"/>
  <c r="B48" i="7"/>
  <c r="L60" i="7"/>
  <c r="K60" i="7"/>
  <c r="J60" i="7"/>
  <c r="I60" i="7"/>
  <c r="H60" i="7"/>
  <c r="G60" i="7"/>
  <c r="F60" i="7"/>
  <c r="E60" i="7"/>
  <c r="D60" i="7"/>
  <c r="C60" i="7"/>
  <c r="B60" i="7"/>
  <c r="L59" i="7"/>
  <c r="K59" i="7"/>
  <c r="J59" i="7"/>
  <c r="I59" i="7"/>
  <c r="H59" i="7"/>
  <c r="G59" i="7"/>
  <c r="F59" i="7"/>
  <c r="E59" i="7"/>
  <c r="D59" i="7"/>
  <c r="C59" i="7"/>
  <c r="B59" i="7"/>
  <c r="L58" i="7"/>
  <c r="K58" i="7"/>
  <c r="J58" i="7"/>
  <c r="I58" i="7"/>
  <c r="H58" i="7"/>
  <c r="G58" i="7"/>
  <c r="F58" i="7"/>
  <c r="E58" i="7"/>
  <c r="D58" i="7"/>
  <c r="C58" i="7"/>
  <c r="B58" i="7"/>
  <c r="B55" i="7"/>
  <c r="L54" i="7"/>
  <c r="K54" i="7"/>
  <c r="J54" i="7"/>
  <c r="I54" i="7"/>
  <c r="H54" i="7"/>
  <c r="G54" i="7"/>
  <c r="F54" i="7"/>
  <c r="E54" i="7"/>
  <c r="D54" i="7"/>
  <c r="C54" i="7"/>
  <c r="B54" i="7"/>
  <c r="L53" i="7"/>
  <c r="K53" i="7"/>
  <c r="J53" i="7"/>
  <c r="I53" i="7"/>
  <c r="H53" i="7"/>
  <c r="G53" i="7"/>
  <c r="F53" i="7"/>
  <c r="E53" i="7"/>
  <c r="D53" i="7"/>
  <c r="C53" i="7"/>
  <c r="B53" i="7"/>
  <c r="L52" i="7"/>
  <c r="K52" i="7"/>
  <c r="J52" i="7"/>
  <c r="I52" i="7"/>
  <c r="H52" i="7"/>
  <c r="G52" i="7"/>
  <c r="F52" i="7"/>
  <c r="E52" i="7"/>
  <c r="D52" i="7"/>
  <c r="C52" i="7"/>
  <c r="B52" i="7"/>
  <c r="L50" i="7"/>
  <c r="K50" i="7"/>
  <c r="J50" i="7"/>
  <c r="I50" i="7"/>
  <c r="H50" i="7"/>
  <c r="G50" i="7"/>
  <c r="F50" i="7"/>
  <c r="E50" i="7"/>
  <c r="D50" i="7"/>
  <c r="C50" i="7"/>
  <c r="L49" i="7"/>
  <c r="K49" i="7"/>
  <c r="J49" i="7"/>
  <c r="I49" i="7"/>
  <c r="H49" i="7"/>
  <c r="G49" i="7"/>
  <c r="F49" i="7"/>
  <c r="E49" i="7"/>
  <c r="D49" i="7"/>
  <c r="C49" i="7"/>
  <c r="B49" i="7"/>
  <c r="L48" i="7"/>
  <c r="K48" i="7"/>
  <c r="J48" i="7"/>
  <c r="I48" i="7"/>
  <c r="H48" i="7"/>
  <c r="G48" i="7"/>
  <c r="F48" i="7"/>
  <c r="E48" i="7"/>
  <c r="D48" i="7"/>
  <c r="C48" i="7"/>
  <c r="L47" i="7"/>
  <c r="K47" i="7"/>
  <c r="J47" i="7"/>
  <c r="I47" i="7"/>
  <c r="H47" i="7"/>
  <c r="G47" i="7"/>
  <c r="F47" i="7"/>
  <c r="E47" i="7"/>
  <c r="D47" i="7"/>
  <c r="C47" i="7"/>
  <c r="B47" i="7"/>
  <c r="L46" i="7"/>
  <c r="K46" i="7"/>
  <c r="J46" i="7"/>
  <c r="I46" i="7"/>
  <c r="H46" i="7"/>
  <c r="G46" i="7"/>
  <c r="F46" i="7"/>
  <c r="E46" i="7"/>
  <c r="D46" i="7"/>
  <c r="C46" i="7"/>
  <c r="B46" i="7"/>
  <c r="L35" i="7"/>
  <c r="L40" i="7" s="1"/>
  <c r="K35" i="7"/>
  <c r="K40" i="7" s="1"/>
  <c r="J35" i="7"/>
  <c r="J40" i="7" s="1"/>
  <c r="I35" i="7"/>
  <c r="I40" i="7" s="1"/>
  <c r="H35" i="7"/>
  <c r="H40" i="7" s="1"/>
  <c r="G35" i="7"/>
  <c r="G40" i="7" s="1"/>
  <c r="F35" i="7"/>
  <c r="F40" i="7" s="1"/>
  <c r="E35" i="7"/>
  <c r="E40" i="7" s="1"/>
  <c r="D35" i="7"/>
  <c r="D40" i="7" s="1"/>
  <c r="C35" i="7"/>
  <c r="C40" i="7" s="1"/>
  <c r="L32" i="7"/>
  <c r="L37" i="7" s="1"/>
  <c r="K32" i="7"/>
  <c r="K37" i="7" s="1"/>
  <c r="J32" i="7"/>
  <c r="J37" i="7" s="1"/>
  <c r="I32" i="7"/>
  <c r="H32" i="7"/>
  <c r="H37" i="7" s="1"/>
  <c r="G32" i="7"/>
  <c r="G37" i="7" s="1"/>
  <c r="F32" i="7"/>
  <c r="F37" i="7" s="1"/>
  <c r="E32" i="7"/>
  <c r="E37" i="7" s="1"/>
  <c r="D32" i="7"/>
  <c r="D37" i="7" s="1"/>
  <c r="D38" i="7" s="1"/>
  <c r="C32" i="7"/>
  <c r="C37" i="7" s="1"/>
  <c r="L29" i="7"/>
  <c r="K29" i="7"/>
  <c r="J29" i="7"/>
  <c r="I29" i="7"/>
  <c r="H29" i="7"/>
  <c r="G29" i="7"/>
  <c r="F29" i="7"/>
  <c r="E29" i="7"/>
  <c r="D29" i="7"/>
  <c r="C29" i="7"/>
  <c r="L23" i="7"/>
  <c r="K23" i="7"/>
  <c r="J23" i="7"/>
  <c r="I23" i="7"/>
  <c r="H23" i="7"/>
  <c r="G23" i="7"/>
  <c r="F23" i="7"/>
  <c r="E23" i="7"/>
  <c r="D23" i="7"/>
  <c r="C23" i="7"/>
  <c r="C24" i="7" s="1"/>
  <c r="L20" i="7"/>
  <c r="K20" i="7"/>
  <c r="J20" i="7"/>
  <c r="I20" i="7"/>
  <c r="H20" i="7"/>
  <c r="G20" i="7"/>
  <c r="F20" i="7"/>
  <c r="E20" i="7"/>
  <c r="D20" i="7"/>
  <c r="C20" i="7"/>
  <c r="L14" i="7"/>
  <c r="K14" i="7"/>
  <c r="J14" i="7"/>
  <c r="I14" i="7"/>
  <c r="H14" i="7"/>
  <c r="G14" i="7"/>
  <c r="F14" i="7"/>
  <c r="E14" i="7"/>
  <c r="D14" i="7"/>
  <c r="C14" i="7"/>
  <c r="L8" i="7"/>
  <c r="K8" i="7"/>
  <c r="J8" i="7"/>
  <c r="I8" i="7"/>
  <c r="H8" i="7"/>
  <c r="G8" i="7"/>
  <c r="F8" i="7"/>
  <c r="E8" i="7"/>
  <c r="D8" i="7"/>
  <c r="C8" i="7"/>
  <c r="L5" i="7"/>
  <c r="L11" i="7" s="1"/>
  <c r="K5" i="7"/>
  <c r="K11" i="7" s="1"/>
  <c r="J5" i="7"/>
  <c r="I5" i="7"/>
  <c r="I11" i="7" s="1"/>
  <c r="H5" i="7"/>
  <c r="G5" i="7"/>
  <c r="G11" i="7" s="1"/>
  <c r="F5" i="7"/>
  <c r="E5" i="7"/>
  <c r="E11" i="7" s="1"/>
  <c r="D5" i="7"/>
  <c r="C5" i="7"/>
  <c r="C11" i="7" s="1"/>
  <c r="L3" i="7"/>
  <c r="K3" i="7"/>
  <c r="J3" i="7"/>
  <c r="I3" i="7"/>
  <c r="H3" i="7"/>
  <c r="G3" i="7"/>
  <c r="F3" i="7"/>
  <c r="E3" i="7"/>
  <c r="D3" i="7"/>
  <c r="C3" i="7"/>
  <c r="G103" i="9" l="1"/>
  <c r="F97" i="9"/>
  <c r="F99" i="9" s="1"/>
  <c r="F105" i="9" s="1"/>
  <c r="E103" i="9"/>
  <c r="E93" i="9"/>
  <c r="F87" i="9"/>
  <c r="E77" i="9"/>
  <c r="E87" i="9" s="1"/>
  <c r="H87" i="9"/>
  <c r="G87" i="9"/>
  <c r="G93" i="9"/>
  <c r="C93" i="9"/>
  <c r="C103" i="9"/>
  <c r="I99" i="9"/>
  <c r="I93" i="9"/>
  <c r="H97" i="9"/>
  <c r="H99" i="9" s="1"/>
  <c r="H105" i="9" s="1"/>
  <c r="D97" i="9"/>
  <c r="D99" i="9" s="1"/>
  <c r="D105" i="9" s="1"/>
  <c r="D87" i="9"/>
  <c r="C87" i="9"/>
  <c r="E99" i="9"/>
  <c r="C99" i="9"/>
  <c r="I77" i="9"/>
  <c r="I87" i="9" s="1"/>
  <c r="C105" i="9"/>
  <c r="I105" i="9"/>
  <c r="G105" i="9"/>
  <c r="I37" i="7"/>
  <c r="J38" i="7" s="1"/>
  <c r="D56" i="7"/>
  <c r="F56" i="7"/>
  <c r="H56" i="7"/>
  <c r="J56" i="7"/>
  <c r="L56" i="7"/>
  <c r="D61" i="7"/>
  <c r="F61" i="7"/>
  <c r="H61" i="7"/>
  <c r="J61" i="7"/>
  <c r="L61" i="7"/>
  <c r="C77" i="7"/>
  <c r="E77" i="7"/>
  <c r="G77" i="7"/>
  <c r="I77" i="7"/>
  <c r="K77" i="7"/>
  <c r="C56" i="7"/>
  <c r="E56" i="7"/>
  <c r="G56" i="7"/>
  <c r="I56" i="7"/>
  <c r="K56" i="7"/>
  <c r="C61" i="7"/>
  <c r="E61" i="7"/>
  <c r="G61" i="7"/>
  <c r="I61" i="7"/>
  <c r="K61" i="7"/>
  <c r="D9" i="7"/>
  <c r="F9" i="7"/>
  <c r="H9" i="7"/>
  <c r="J9" i="7"/>
  <c r="L9" i="7"/>
  <c r="D15" i="7"/>
  <c r="F15" i="7"/>
  <c r="H15" i="7"/>
  <c r="J15" i="7"/>
  <c r="L15" i="7"/>
  <c r="D21" i="7"/>
  <c r="F21" i="7"/>
  <c r="H21" i="7"/>
  <c r="J21" i="7"/>
  <c r="L21" i="7"/>
  <c r="D24" i="7"/>
  <c r="F24" i="7"/>
  <c r="H24" i="7"/>
  <c r="J24" i="7"/>
  <c r="L24" i="7"/>
  <c r="C17" i="7"/>
  <c r="C12" i="7"/>
  <c r="E17" i="7"/>
  <c r="E12" i="7"/>
  <c r="G17" i="7"/>
  <c r="G12" i="7"/>
  <c r="I17" i="7"/>
  <c r="I12" i="7"/>
  <c r="K17" i="7"/>
  <c r="K12" i="7"/>
  <c r="D6" i="7"/>
  <c r="F6" i="7"/>
  <c r="H6" i="7"/>
  <c r="J6" i="7"/>
  <c r="L6" i="7"/>
  <c r="F38" i="7"/>
  <c r="H38" i="7"/>
  <c r="L38" i="7"/>
  <c r="D41" i="7"/>
  <c r="D43" i="7" s="1"/>
  <c r="F41" i="7"/>
  <c r="F43" i="7" s="1"/>
  <c r="H41" i="7"/>
  <c r="H43" i="7" s="1"/>
  <c r="J41" i="7"/>
  <c r="J43" i="7" s="1"/>
  <c r="L41" i="7"/>
  <c r="L43" i="7" s="1"/>
  <c r="D11" i="7"/>
  <c r="F11" i="7"/>
  <c r="H11" i="7"/>
  <c r="J11" i="7"/>
  <c r="L17" i="7"/>
  <c r="L12" i="7"/>
  <c r="E6" i="7"/>
  <c r="G6" i="7"/>
  <c r="I6" i="7"/>
  <c r="K6" i="7"/>
  <c r="C9" i="7"/>
  <c r="E9" i="7"/>
  <c r="G9" i="7"/>
  <c r="I9" i="7"/>
  <c r="K9" i="7"/>
  <c r="C15" i="7"/>
  <c r="E15" i="7"/>
  <c r="G15" i="7"/>
  <c r="I15" i="7"/>
  <c r="K15" i="7"/>
  <c r="C21" i="7"/>
  <c r="E21" i="7"/>
  <c r="G21" i="7"/>
  <c r="I21" i="7"/>
  <c r="K21" i="7"/>
  <c r="E24" i="7"/>
  <c r="G24" i="7"/>
  <c r="I24" i="7"/>
  <c r="K24" i="7"/>
  <c r="E38" i="7"/>
  <c r="G38" i="7"/>
  <c r="I38" i="7"/>
  <c r="K38" i="7"/>
  <c r="C41" i="7"/>
  <c r="C43" i="7" s="1"/>
  <c r="E41" i="7"/>
  <c r="E43" i="7" s="1"/>
  <c r="G41" i="7"/>
  <c r="G43" i="7" s="1"/>
  <c r="I41" i="7"/>
  <c r="I43" i="7" s="1"/>
  <c r="K41" i="7"/>
  <c r="K43" i="7" s="1"/>
  <c r="C33" i="7"/>
  <c r="E33" i="7"/>
  <c r="G33" i="7"/>
  <c r="I33" i="7"/>
  <c r="K33" i="7"/>
  <c r="D33" i="7"/>
  <c r="F33" i="7"/>
  <c r="H33" i="7"/>
  <c r="J33" i="7"/>
  <c r="L33" i="7"/>
  <c r="B6" i="6"/>
  <c r="E1" i="6"/>
  <c r="E105" i="9" l="1"/>
  <c r="I63" i="7"/>
  <c r="I65" i="7" s="1"/>
  <c r="J63" i="7"/>
  <c r="J65" i="7" s="1"/>
  <c r="F63" i="7"/>
  <c r="F65" i="7" s="1"/>
  <c r="L63" i="7"/>
  <c r="L65" i="7" s="1"/>
  <c r="H63" i="7"/>
  <c r="H65" i="7" s="1"/>
  <c r="D63" i="7"/>
  <c r="D65" i="7" s="1"/>
  <c r="E63" i="7"/>
  <c r="E65" i="7" s="1"/>
  <c r="K63" i="7"/>
  <c r="K65" i="7" s="1"/>
  <c r="G63" i="7"/>
  <c r="G65" i="7" s="1"/>
  <c r="C63" i="7"/>
  <c r="C65" i="7" s="1"/>
  <c r="L26" i="7"/>
  <c r="L18" i="7"/>
  <c r="H17" i="7"/>
  <c r="H12" i="7"/>
  <c r="D17" i="7"/>
  <c r="D12" i="7"/>
  <c r="J17" i="7"/>
  <c r="J12" i="7"/>
  <c r="F17" i="7"/>
  <c r="F12" i="7"/>
  <c r="K26" i="7"/>
  <c r="K18" i="7"/>
  <c r="I26" i="7"/>
  <c r="I18" i="7"/>
  <c r="G26" i="7"/>
  <c r="G18" i="7"/>
  <c r="E26" i="7"/>
  <c r="E18" i="7"/>
  <c r="C26" i="7"/>
  <c r="C18" i="7"/>
  <c r="C27" i="7" l="1"/>
  <c r="C30" i="7"/>
  <c r="E27" i="7"/>
  <c r="E30" i="7"/>
  <c r="G27" i="7"/>
  <c r="G30" i="7"/>
  <c r="I27" i="7"/>
  <c r="I30" i="7"/>
  <c r="K27" i="7"/>
  <c r="K30" i="7"/>
  <c r="F26" i="7"/>
  <c r="F18" i="7"/>
  <c r="J26" i="7"/>
  <c r="J18" i="7"/>
  <c r="D26" i="7"/>
  <c r="D18" i="7"/>
  <c r="H26" i="7"/>
  <c r="H18" i="7"/>
  <c r="L27" i="7"/>
  <c r="L30" i="7"/>
  <c r="H27" i="7" l="1"/>
  <c r="H30" i="7"/>
  <c r="D27" i="7"/>
  <c r="D30" i="7"/>
  <c r="J27" i="7"/>
  <c r="J30" i="7"/>
  <c r="F27" i="7"/>
  <c r="F30" i="7"/>
</calcChain>
</file>

<file path=xl/sharedStrings.xml><?xml version="1.0" encoding="utf-8"?>
<sst xmlns="http://schemas.openxmlformats.org/spreadsheetml/2006/main" count="169" uniqueCount="139">
  <si>
    <t>COMPANY NAME</t>
  </si>
  <si>
    <t>Sales</t>
  </si>
  <si>
    <t>Expenses</t>
  </si>
  <si>
    <t>Operating Profit</t>
  </si>
  <si>
    <t>Other Income</t>
  </si>
  <si>
    <t>Depreciation</t>
  </si>
  <si>
    <t>Interest</t>
  </si>
  <si>
    <t>Profit before tax</t>
  </si>
  <si>
    <t>Tax</t>
  </si>
  <si>
    <t>Net profit</t>
  </si>
  <si>
    <t>Sales Growth</t>
  </si>
  <si>
    <t>Equity Share Capital</t>
  </si>
  <si>
    <t>Reserves</t>
  </si>
  <si>
    <t>Total</t>
  </si>
  <si>
    <t>Net Block</t>
  </si>
  <si>
    <t>Capital Work in Progress</t>
  </si>
  <si>
    <t>Investments</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</si>
  <si>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</si>
  <si>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</si>
  <si>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</si>
  <si>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</si>
  <si>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</si>
  <si>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</si>
  <si>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</si>
  <si>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</si>
  <si>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</si>
  <si>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</si>
  <si>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</si>
  <si>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</si>
  <si>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</si>
  <si>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Inventory</t>
  </si>
  <si>
    <t>LATEST VERSION</t>
  </si>
  <si>
    <t>CURRENT VERSION</t>
  </si>
  <si>
    <t>AVENUE SUPERMARTS LTD</t>
  </si>
  <si>
    <t>META</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</si>
  <si>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</si>
  <si>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</si>
  <si>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</si>
  <si>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</si>
  <si>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</si>
  <si>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</si>
  <si>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</si>
  <si>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</si>
  <si>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</si>
  <si>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</si>
  <si>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</si>
  <si>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</si>
  <si>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</si>
  <si>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</si>
  <si>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</si>
  <si>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</si>
  <si>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</si>
  <si>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</si>
  <si>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</si>
  <si>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</si>
  <si>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Income Statement</t>
  </si>
  <si>
    <t>COGS</t>
  </si>
  <si>
    <t>COGS % Sales</t>
  </si>
  <si>
    <t>Gross Profit</t>
  </si>
  <si>
    <t>Gross Margins</t>
  </si>
  <si>
    <t>Selling &amp; General Expenses</t>
  </si>
  <si>
    <t>S&amp;G Exp % Sales</t>
  </si>
  <si>
    <t>EBITDA</t>
  </si>
  <si>
    <t>EBITDA Margins</t>
  </si>
  <si>
    <t>Interest % Sales</t>
  </si>
  <si>
    <t>Depreciation%Sales</t>
  </si>
  <si>
    <t>Earnings Before Tax</t>
  </si>
  <si>
    <t>EBT % Sales</t>
  </si>
  <si>
    <t>Effective Tax Rate</t>
  </si>
  <si>
    <t>Net Profit</t>
  </si>
  <si>
    <t>Net Margins</t>
  </si>
  <si>
    <t>No of Equity Shares</t>
  </si>
  <si>
    <t>Earnings per Share</t>
  </si>
  <si>
    <t>EPS Growth %</t>
  </si>
  <si>
    <t>Dividend per Share</t>
  </si>
  <si>
    <t>Dividend payout ratio</t>
  </si>
  <si>
    <t>Retained Earnings</t>
  </si>
  <si>
    <t>#</t>
  </si>
  <si>
    <t>Years</t>
  </si>
  <si>
    <t>-</t>
  </si>
  <si>
    <t>Balance Sheet</t>
  </si>
  <si>
    <t>Total Liabilties</t>
  </si>
  <si>
    <t>Total Non-Current Assets</t>
  </si>
  <si>
    <t>Total Current Assets</t>
  </si>
  <si>
    <t>Total Assets</t>
  </si>
  <si>
    <t>Check</t>
  </si>
  <si>
    <t>Cash Flow Statements</t>
  </si>
  <si>
    <r>
      <t>Cash from Operating Activity </t>
    </r>
    <r>
      <rPr>
        <sz val="11"/>
        <color rgb="FF665EFD"/>
        <rFont val="Arial"/>
        <family val="2"/>
      </rPr>
      <t>-</t>
    </r>
  </si>
  <si>
    <t>Profit from operations</t>
  </si>
  <si>
    <t>Payables</t>
  </si>
  <si>
    <t>Loans Advances</t>
  </si>
  <si>
    <t>Other WC items</t>
  </si>
  <si>
    <t>Working capital changes</t>
  </si>
  <si>
    <t>Direct taxes</t>
  </si>
  <si>
    <r>
      <t>Cash from Investing Activity </t>
    </r>
    <r>
      <rPr>
        <sz val="11"/>
        <color rgb="FF665EFD"/>
        <rFont val="Arial"/>
        <family val="2"/>
      </rPr>
      <t>-</t>
    </r>
  </si>
  <si>
    <t>Fixed assets purchased</t>
  </si>
  <si>
    <t>Fixed assets sold</t>
  </si>
  <si>
    <t>Investments purchased</t>
  </si>
  <si>
    <t>Investments sold</t>
  </si>
  <si>
    <t>Interest received</t>
  </si>
  <si>
    <t>Dividends received</t>
  </si>
  <si>
    <t>Investment in group cos</t>
  </si>
  <si>
    <t>Issue of shares on acq</t>
  </si>
  <si>
    <t>Redemp n Canc of Shares</t>
  </si>
  <si>
    <t>Acquisition of companies</t>
  </si>
  <si>
    <t>Inter corporate deposits</t>
  </si>
  <si>
    <t>Other investing items</t>
  </si>
  <si>
    <r>
      <t>Cash from Financing Activity </t>
    </r>
    <r>
      <rPr>
        <sz val="11"/>
        <color rgb="FF665EFD"/>
        <rFont val="Arial"/>
        <family val="2"/>
      </rPr>
      <t>-</t>
    </r>
  </si>
  <si>
    <t>Proceeds from shares</t>
  </si>
  <si>
    <t>Proceeds from borrowings</t>
  </si>
  <si>
    <t>Repayment of borrowings</t>
  </si>
  <si>
    <t>Interest paid fin</t>
  </si>
  <si>
    <t>Dividends paid</t>
  </si>
  <si>
    <t>Financial liabilities</t>
  </si>
  <si>
    <t>Other financing items</t>
  </si>
  <si>
    <t>Operating Activities</t>
  </si>
  <si>
    <t>Cash from Operating Activity </t>
  </si>
  <si>
    <t>Investing Activities</t>
  </si>
  <si>
    <t>Cash from Investing Activity </t>
  </si>
  <si>
    <t>Financing Activities</t>
  </si>
  <si>
    <t>Cash from Financing Activity </t>
  </si>
  <si>
    <t>About the company</t>
  </si>
  <si>
    <t>Financial Summary</t>
  </si>
  <si>
    <t>Return on Equity (ROE)</t>
  </si>
  <si>
    <t>Average Shareholder Equity</t>
  </si>
  <si>
    <t>Return on Equity</t>
  </si>
  <si>
    <t>ROE - Dupont Equation</t>
  </si>
  <si>
    <t>Revenue</t>
  </si>
  <si>
    <t>Net Profit Margin (A)</t>
  </si>
  <si>
    <t>Average Total Asset</t>
  </si>
  <si>
    <t>Asset Turnover Ratio (B)</t>
  </si>
  <si>
    <t>Equity Multiplier (C)</t>
  </si>
  <si>
    <t>Return on Equity (A*B*C)</t>
  </si>
  <si>
    <t>Return on Asset</t>
  </si>
  <si>
    <t>ROA - Dupont Equation</t>
  </si>
  <si>
    <t>Return on Asset (A*B)</t>
  </si>
  <si>
    <t xml:space="preserve">  (AVANTIFEED | BSE Code: 540376)</t>
  </si>
  <si>
    <t xml:space="preserve">   52 Week (High - INR 5484 &amp; Low - 3337.1)</t>
  </si>
  <si>
    <t>Avenue Supermarts Limited, d/b/a DMart, is an Indian retail corporation that operates a chain of supermarkets and hypermarkets. The company was founded by Radhakishan Damani and is based in Mumbai. As of March 2025, DMart has 415 stores across 12 states and union territories in India.In March 2024, the company had a total of 13,971 permanent employees and 59,961 employees hired on contractual basis.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</si>
</sst>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_ * #,##0.00_ ;_ * \-#,##0.00_ ;_ * &quot;-&quot;??_ ;_ @_ "/>
    <numFmt numFmtId="165" formatCode="[$-409]mmm\-yy;@"/>
    <numFmt numFmtId="166" formatCode="#,##0.0"/>
    <numFmt numFmtId="167" formatCode="0.0\x"/>
    <numFmt numFmtId="168" formatCode="0.00\x"/>
  </numFmts>
  <fonts count="20"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sz val="11"/>
      <name val="Calibri"/>
      <family val="2"/>
      <scheme val="minor"/>
    </font>
    <font>
      <b/>
      <sz val="11"/>
      <color theme="1"/>
      <name val="calibri"/>
      <family val="2"/>
    </font>
    <font>
      <i/>
      <sz val="11"/>
      <color theme="0" tint="-0.499984740745262"/>
      <name val="calibri"/>
      <family val="2"/>
    </font>
    <font>
      <b/>
      <sz val="11"/>
      <color theme="0"/>
      <name val="calibri"/>
      <family val="2"/>
    </font>
    <font>
      <b/>
      <sz val="11"/>
      <name val="Calibri"/>
      <family val="2"/>
      <scheme val="minor"/>
    </font>
    <font>
      <sz val="11"/>
      <color rgb="FF606F7B"/>
      <name val="Arial"/>
      <family val="2"/>
    </font>
    <font>
      <sz val="11"/>
      <color rgb="FF22222F"/>
      <name val="Arial"/>
      <family val="2"/>
    </font>
    <font>
      <sz val="11"/>
      <color rgb="FF665EFD"/>
      <name val="Arial"/>
      <family val="2"/>
    </font>
    <font>
      <sz val="11"/>
      <color rgb="FF22222F"/>
      <name val="Arial"/>
      <family val="2"/>
    </font>
    <font>
      <sz val="11"/>
      <color theme="0" tint="-0.499984740745262"/>
      <name val="Calibri"/>
      <family val="2"/>
      <scheme val="minor"/>
    </font>
    <font>
      <b/>
      <sz val="22"/>
      <color rgb="FF028655"/>
      <name val="calibri"/>
      <family val="2"/>
    </font>
    <font>
      <b/>
      <sz val="14"/>
      <color rgb="FF028655"/>
      <name val="calibri"/>
      <family val="2"/>
    </font>
    <font>
      <sz val="12"/>
      <color theme="1"/>
      <name val="calibri"/>
      <family val="2"/>
    </font>
    <font>
      <b/>
      <sz val="12"/>
      <color theme="0"/>
      <name val="calibri"/>
      <family val="2"/>
    </font>
  </fonts>
  <fills count="10">
    <fill>
      <patternFill patternType="none"/>
    </fill>
    <fill>
      <patternFill patternType="gray125"/>
    </fill>
    <fill>
      <patternFill patternType="solid">
        <fgColor theme="9"/>
      </patternFill>
    </fill>
    <fill>
      <patternFill patternType="solid">
        <fgColor rgb="FF0275D8"/>
        <bgColor indexed="64"/>
      </patternFill>
    </fill>
    <fill>
      <patternFill patternType="solid">
        <fgColor theme="8" tint="0.79998168889431442"/>
        <bgColor indexed="64"/>
      </patternFill>
    </fill>
    <fill>
      <patternFill patternType="solid">
        <fgColor theme="8" tint="-0.499984740745262"/>
        <bgColor indexed="64"/>
      </patternFill>
    </fill>
    <fill>
      <patternFill patternType="solid">
        <fgColor rgb="FFFFFFFF"/>
        <bgColor indexed="64"/>
      </patternFill>
    </fill>
    <fill>
      <patternFill patternType="solid">
        <fgColor rgb="FFF8F8FC"/>
        <bgColor indexed="64"/>
      </patternFill>
    </fill>
    <fill>
      <patternFill patternType="solid">
        <fgColor rgb="FF028655"/>
        <bgColor indexed="64"/>
      </patternFill>
    </fill>
    <fill>
      <patternFill patternType="solid">
        <fgColor rgb="FFC7F7C5"/>
        <bgColor indexed="64"/>
      </patternFill>
    </fill>
  </fills>
  <borders count="5">
    <border>
      <left/>
      <right/>
      <top/>
      <bottom/>
      <diagonal/>
    </border>
    <border>
      <left/>
      <right/>
      <top/>
      <bottom style="medium">
        <color rgb="FFDBE4F0"/>
      </bottom>
      <diagonal/>
    </border>
    <border>
      <left/>
      <right/>
      <top style="thick">
        <color rgb="FFDBE4F0"/>
      </top>
      <bottom/>
      <diagonal/>
    </border>
    <border>
      <left/>
      <right/>
      <top style="thin">
        <color auto="1"/>
      </top>
      <bottom style="thin">
        <color auto="1"/>
      </bottom>
      <diagonal/>
    </border>
    <border>
      <left/>
      <right/>
      <top/>
      <bottom style="medium">
        <color rgb="FF028655"/>
      </bottom>
      <diagonal/>
    </border>
  </borders>
  <cellStyleXfs count="5">
    <xf numFmtId="0" fontId="0" fillId="0" borderId="0"/>
    <xf numFmtId="164"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9" fontId="3" fillId="0" borderId="0" applyFont="0" applyFill="0" applyBorder="0" applyAlignment="0" applyProtection="0"/>
  </cellStyleXfs>
  <cellXfs count="52">
    <xf numFmtId="0" fontId="0" fillId="0" borderId="0" xfId="0"/>
    <xf numFmtId="164" fontId="1" fillId="0" borderId="0" xfId="1" applyFont="1" applyBorder="1"/>
    <xf numFmtId="164" fontId="0" fillId="0" borderId="0" xfId="1" applyFont="1" applyBorder="1"/>
    <xf numFmtId="164" fontId="3" fillId="0" borderId="0" xfId="1" applyFont="1" applyBorder="1"/>
    <xf numFmtId="165" fontId="2" fillId="3" borderId="0" xfId="0" applyNumberFormat="1" applyFont="1" applyFill="1" applyBorder="1" applyAlignment="1">
      <alignment horizontal="center"/>
    </xf>
    <xf numFmtId="165" fontId="2" fillId="3" borderId="0" xfId="1" applyNumberFormat="1" applyFont="1" applyFill="1" applyBorder="1"/>
    <xf numFmtId="165" fontId="6" fillId="0" borderId="0" xfId="1" applyNumberFormat="1" applyFont="1" applyFill="1" applyBorder="1"/>
    <xf numFmtId="43" fontId="0" fillId="0" borderId="0" xfId="1" applyNumberFormat="1" applyFont="1" applyBorder="1"/>
    <xf numFmtId="0" fontId="7" fillId="4" borderId="0" xfId="0" applyFont="1" applyFill="1"/>
    <xf numFmtId="0" fontId="8" fillId="0" borderId="0" xfId="0" applyFont="1"/>
    <xf numFmtId="0" fontId="9" fillId="5" borderId="0" xfId="0" applyFont="1" applyFill="1"/>
    <xf numFmtId="17" fontId="9" fillId="5" borderId="0" xfId="0" applyNumberFormat="1" applyFont="1" applyFill="1"/>
    <xf numFmtId="17" fontId="9" fillId="5" borderId="0" xfId="0" applyNumberFormat="1" applyFont="1" applyFill="1" applyAlignment="1">
      <alignment horizontal="right"/>
    </xf>
    <xf numFmtId="0" fontId="10" fillId="0" borderId="0" xfId="0" applyFont="1"/>
    <xf numFmtId="0" fontId="1" fillId="0" borderId="0" xfId="0" applyFont="1"/>
    <xf numFmtId="17" fontId="11" fillId="6" borderId="1" xfId="0" applyNumberFormat="1" applyFont="1" applyFill="1" applyBorder="1" applyAlignment="1">
      <alignment horizontal="right" vertical="center" wrapText="1" indent="1"/>
    </xf>
    <xf numFmtId="0" fontId="12" fillId="7" borderId="2" xfId="0" applyFont="1" applyFill="1" applyBorder="1" applyAlignment="1">
      <alignment horizontal="left" vertical="center" indent="2"/>
    </xf>
    <xf numFmtId="0" fontId="12" fillId="7" borderId="2" xfId="0" applyFont="1" applyFill="1" applyBorder="1" applyAlignment="1">
      <alignment horizontal="right" vertical="center" wrapText="1" indent="1"/>
    </xf>
    <xf numFmtId="3" fontId="12" fillId="7" borderId="2" xfId="0" applyNumberFormat="1" applyFont="1" applyFill="1" applyBorder="1" applyAlignment="1">
      <alignment horizontal="right" vertical="center" wrapText="1" indent="1"/>
    </xf>
    <xf numFmtId="0" fontId="12" fillId="7" borderId="2" xfId="0" applyFont="1" applyFill="1" applyBorder="1" applyAlignment="1">
      <alignment horizontal="left" vertical="center"/>
    </xf>
    <xf numFmtId="0" fontId="14" fillId="7" borderId="0" xfId="0" applyFont="1" applyFill="1" applyAlignment="1">
      <alignment horizontal="left" vertical="center"/>
    </xf>
    <xf numFmtId="3" fontId="14" fillId="7" borderId="0" xfId="0" applyNumberFormat="1" applyFont="1" applyFill="1" applyAlignment="1">
      <alignment horizontal="right" vertical="center" wrapText="1" indent="1"/>
    </xf>
    <xf numFmtId="0" fontId="14" fillId="7" borderId="0" xfId="0" applyFont="1" applyFill="1" applyAlignment="1">
      <alignment horizontal="right" vertical="center" wrapText="1" indent="1"/>
    </xf>
    <xf numFmtId="0" fontId="12" fillId="6" borderId="2" xfId="0" applyFont="1" applyFill="1" applyBorder="1" applyAlignment="1">
      <alignment horizontal="left" vertical="center" indent="2"/>
    </xf>
    <xf numFmtId="3" fontId="12" fillId="6" borderId="2" xfId="0" applyNumberFormat="1" applyFont="1" applyFill="1" applyBorder="1" applyAlignment="1">
      <alignment horizontal="right" vertical="center" wrapText="1" indent="1"/>
    </xf>
    <xf numFmtId="0" fontId="14" fillId="6" borderId="0" xfId="0" applyFont="1" applyFill="1" applyAlignment="1">
      <alignment horizontal="left" vertical="center"/>
    </xf>
    <xf numFmtId="3" fontId="14" fillId="6" borderId="0" xfId="0" applyNumberFormat="1" applyFont="1" applyFill="1" applyAlignment="1">
      <alignment horizontal="right" vertical="center" wrapText="1" indent="1"/>
    </xf>
    <xf numFmtId="0" fontId="14" fillId="6" borderId="0" xfId="0" applyFont="1" applyFill="1" applyAlignment="1">
      <alignment horizontal="right" vertical="center" wrapText="1" indent="1"/>
    </xf>
    <xf numFmtId="0" fontId="12" fillId="6" borderId="2" xfId="0" applyFont="1" applyFill="1" applyBorder="1" applyAlignment="1">
      <alignment horizontal="right" vertical="center" wrapText="1" indent="1"/>
    </xf>
    <xf numFmtId="3" fontId="0" fillId="0" borderId="0" xfId="0" applyNumberFormat="1"/>
    <xf numFmtId="0" fontId="0" fillId="0" borderId="0" xfId="0" applyAlignment="1">
      <alignment horizontal="center"/>
    </xf>
    <xf numFmtId="10" fontId="15" fillId="0" borderId="0" xfId="0" applyNumberFormat="1" applyFont="1"/>
    <xf numFmtId="0" fontId="0" fillId="0" borderId="0" xfId="0" applyAlignment="1">
      <alignment horizontal="center" vertical="center"/>
    </xf>
    <xf numFmtId="0" fontId="1" fillId="0" borderId="3" xfId="0" applyFont="1" applyBorder="1"/>
    <xf numFmtId="164" fontId="4" fillId="0" borderId="0" xfId="2" applyNumberFormat="1" applyBorder="1" applyAlignment="1" applyProtection="1">
      <alignment horizontal="center"/>
    </xf>
    <xf numFmtId="164" fontId="2" fillId="2" borderId="0" xfId="3" applyNumberFormat="1" applyFont="1" applyBorder="1" applyAlignment="1">
      <alignment horizontal="center"/>
    </xf>
    <xf numFmtId="0" fontId="9" fillId="5" borderId="0" xfId="0" applyFont="1" applyFill="1" applyAlignment="1">
      <alignment horizontal="center"/>
    </xf>
    <xf numFmtId="0" fontId="0" fillId="8" borderId="0" xfId="0" applyFill="1"/>
    <xf numFmtId="164" fontId="16" fillId="0" borderId="0" xfId="0" applyNumberFormat="1" applyFont="1" applyAlignment="1">
      <alignment horizontal="left"/>
    </xf>
    <xf numFmtId="0" fontId="0" fillId="0" borderId="0" xfId="0" applyAlignment="1">
      <alignment horizontal="left"/>
    </xf>
    <xf numFmtId="0" fontId="17" fillId="0" borderId="0" xfId="0" applyFont="1" applyAlignment="1">
      <alignment horizontal="left"/>
    </xf>
    <xf numFmtId="0" fontId="0" fillId="0" borderId="4" xfId="0" applyBorder="1"/>
    <xf numFmtId="0" fontId="17" fillId="0" borderId="0" xfId="0" applyFont="1"/>
    <xf numFmtId="0" fontId="18" fillId="0" borderId="0" xfId="0" applyFont="1" applyAlignment="1">
      <alignment horizontal="left" vertical="center" wrapText="1"/>
    </xf>
    <xf numFmtId="0" fontId="0" fillId="0" borderId="0" xfId="0" applyAlignment="1">
      <alignment wrapText="1"/>
    </xf>
    <xf numFmtId="0" fontId="19" fillId="8" borderId="0" xfId="0" applyFont="1" applyFill="1" applyAlignment="1">
      <alignment horizontal="center"/>
    </xf>
    <xf numFmtId="17" fontId="7" fillId="0" borderId="0" xfId="0" applyNumberFormat="1" applyFont="1"/>
    <xf numFmtId="166" fontId="0" fillId="0" borderId="0" xfId="0" applyNumberFormat="1"/>
    <xf numFmtId="0" fontId="7" fillId="9" borderId="0" xfId="0" applyFont="1" applyFill="1"/>
    <xf numFmtId="10" fontId="7" fillId="9" borderId="0" xfId="4" applyNumberFormat="1" applyFont="1" applyFill="1"/>
    <xf numFmtId="167" fontId="7" fillId="9" borderId="0" xfId="4" applyNumberFormat="1" applyFont="1" applyFill="1"/>
    <xf numFmtId="168" fontId="7" fillId="9" borderId="0" xfId="4" applyNumberFormat="1" applyFont="1" applyFill="1"/>
  </cellXfs>
  <cellStyles count="5">
    <cellStyle name="Accent6" xfId="3" builtinId="49"/>
    <cellStyle name="Comma" xfId="1" builtinId="3"/>
    <cellStyle name="Hyperlink" xfId="2" builtinId="8"/>
    <cellStyle name="Normal" xfId="0" builtinId="0"/>
    <cellStyle name="Percent" xfId="4" builtinId="5"/>
  </cellStyles>
  <dxfs count="1">
    <dxf>
      <font>
        <b/>
        <i val="0"/>
        <color theme="0"/>
      </font>
      <fill>
        <patternFill>
          <bgColor theme="5"/>
        </patternFill>
      </fill>
    </dxf>
  </dxfs>
  <tableStyles count="0" defaultTableStyle="TableStyleMedium9" defaultPivotStyle="PivotStyleLight16"/>
  <colors>
    <mruColors>
      <color rgb="FFC7F7C5"/>
      <color rgb="FF41EB76"/>
      <color rgb="FFB6F8BE"/>
      <color rgb="FFE7FBE5"/>
      <color rgb="FF028655"/>
      <color rgb="FF85EB9D"/>
      <color rgb="FFA1EC94"/>
      <color rgb="FFBDDBC1"/>
      <color rgb="FF99FF33"/>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E7FBE5"/>
            </a:solidFill>
            <a:ln>
              <a:noFill/>
            </a:ln>
            <a:effectLst/>
          </c:spPr>
          <c:invertIfNegative val="0"/>
          <c:dPt>
            <c:idx val="0"/>
            <c:invertIfNegative val="0"/>
            <c:bubble3D val="0"/>
            <c:spPr>
              <a:solidFill>
                <a:srgbClr val="E7FBE5"/>
              </a:solidFill>
              <a:ln>
                <a:noFill/>
              </a:ln>
              <a:effectLst/>
            </c:spPr>
            <c:extLst>
              <c:ext xmlns:c16="http://schemas.microsoft.com/office/drawing/2014/chart" uri="{C3380CC4-5D6E-409C-BE32-E72D297353CC}">
                <c16:uniqueId val="{00000001-9484-4B52-BF07-D961698E542A}"/>
              </c:ext>
            </c:extLst>
          </c:dPt>
          <c:dPt>
            <c:idx val="1"/>
            <c:invertIfNegative val="0"/>
            <c:bubble3D val="0"/>
            <c:spPr>
              <a:solidFill>
                <a:srgbClr val="B6F8BE"/>
              </a:solidFill>
              <a:ln>
                <a:noFill/>
              </a:ln>
              <a:effectLst/>
            </c:spPr>
            <c:extLst>
              <c:ext xmlns:c16="http://schemas.microsoft.com/office/drawing/2014/chart" uri="{C3380CC4-5D6E-409C-BE32-E72D297353CC}">
                <c16:uniqueId val="{00000003-9484-4B52-BF07-D961698E542A}"/>
              </c:ext>
            </c:extLst>
          </c:dPt>
          <c:dPt>
            <c:idx val="2"/>
            <c:invertIfNegative val="0"/>
            <c:bubble3D val="0"/>
            <c:spPr>
              <a:solidFill>
                <a:srgbClr val="41EB76"/>
              </a:solidFill>
              <a:ln>
                <a:noFill/>
              </a:ln>
              <a:effectLst/>
            </c:spPr>
            <c:extLst>
              <c:ext xmlns:c16="http://schemas.microsoft.com/office/drawing/2014/chart" uri="{C3380CC4-5D6E-409C-BE32-E72D297353CC}">
                <c16:uniqueId val="{00000005-9484-4B52-BF07-D961698E542A}"/>
              </c:ext>
            </c:extLst>
          </c:dPt>
          <c:dPt>
            <c:idx val="3"/>
            <c:invertIfNegative val="0"/>
            <c:bubble3D val="0"/>
            <c:spPr>
              <a:solidFill>
                <a:srgbClr val="028655"/>
              </a:solidFill>
              <a:ln>
                <a:noFill/>
              </a:ln>
              <a:effectLst/>
            </c:spPr>
            <c:extLst>
              <c:ext xmlns:c16="http://schemas.microsoft.com/office/drawing/2014/chart" uri="{C3380CC4-5D6E-409C-BE32-E72D297353CC}">
                <c16:uniqueId val="{00000007-9484-4B52-BF07-D961698E542A}"/>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'DU Pont '!$F$74:$I$74</c:f>
              <c:numCache>
                <c:formatCode>mmm\-yy</c:formatCode>
                <c:ptCount val="4"/>
                <c:pt idx="0">
                  <c:v>44651</c:v>
                </c:pt>
                <c:pt idx="1">
                  <c:v>45016</c:v>
                </c:pt>
                <c:pt idx="2">
                  <c:v>45382</c:v>
                </c:pt>
                <c:pt idx="3">
                  <c:v>45747</c:v>
                </c:pt>
              </c:numCache>
            </c:numRef>
          </c:cat>
          <c:val>
            <c:numRef>
              <c:f>'DU Pont '!$F$76:$I$76</c:f>
              <c:numCache>
                <c:formatCode>#,##0.0</c:formatCode>
                <c:ptCount val="4"/>
                <c:pt idx="0">
                  <c:v>30976.27</c:v>
                </c:pt>
                <c:pt idx="1">
                  <c:v>42839.56</c:v>
                </c:pt>
                <c:pt idx="2">
                  <c:v>50788.83</c:v>
                </c:pt>
                <c:pt idx="3">
                  <c:v>59358.05</c:v>
                </c:pt>
              </c:numCache>
            </c:numRef>
          </c:val>
          <c:extLst>
            <c:ext xmlns:c16="http://schemas.microsoft.com/office/drawing/2014/chart" uri="{C3380CC4-5D6E-409C-BE32-E72D297353CC}">
              <c16:uniqueId val="{00000006-9484-4B52-BF07-D961698E542A}"/>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 sourceLinked="1"/>
        <c:majorTickMark val="none"/>
        <c:minorTickMark val="none"/>
        <c:tickLblPos val="nextTo"/>
        <c:crossAx val="884029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28655"/>
            </a:solidFill>
            <a:ln>
              <a:noFill/>
            </a:ln>
            <a:effectLst/>
          </c:spPr>
          <c:invertIfNegative val="0"/>
          <c:dPt>
            <c:idx val="0"/>
            <c:invertIfNegative val="0"/>
            <c:bubble3D val="0"/>
            <c:spPr>
              <a:solidFill>
                <a:srgbClr val="E7FBE5"/>
              </a:solidFill>
              <a:ln>
                <a:noFill/>
              </a:ln>
              <a:effectLst/>
            </c:spPr>
            <c:extLst>
              <c:ext xmlns:c16="http://schemas.microsoft.com/office/drawing/2014/chart" uri="{C3380CC4-5D6E-409C-BE32-E72D297353CC}">
                <c16:uniqueId val="{00000001-B288-40AA-9C2F-668C85EDA1F2}"/>
              </c:ext>
            </c:extLst>
          </c:dPt>
          <c:dPt>
            <c:idx val="1"/>
            <c:invertIfNegative val="0"/>
            <c:bubble3D val="0"/>
            <c:spPr>
              <a:solidFill>
                <a:srgbClr val="B6F8BE"/>
              </a:solidFill>
              <a:ln>
                <a:noFill/>
              </a:ln>
              <a:effectLst/>
            </c:spPr>
            <c:extLst>
              <c:ext xmlns:c16="http://schemas.microsoft.com/office/drawing/2014/chart" uri="{C3380CC4-5D6E-409C-BE32-E72D297353CC}">
                <c16:uniqueId val="{00000003-B288-40AA-9C2F-668C85EDA1F2}"/>
              </c:ext>
            </c:extLst>
          </c:dPt>
          <c:dPt>
            <c:idx val="2"/>
            <c:invertIfNegative val="0"/>
            <c:bubble3D val="0"/>
            <c:spPr>
              <a:solidFill>
                <a:srgbClr val="41EB76"/>
              </a:solidFill>
              <a:ln>
                <a:noFill/>
              </a:ln>
              <a:effectLst/>
            </c:spPr>
            <c:extLst>
              <c:ext xmlns:c16="http://schemas.microsoft.com/office/drawing/2014/chart" uri="{C3380CC4-5D6E-409C-BE32-E72D297353CC}">
                <c16:uniqueId val="{00000005-B288-40AA-9C2F-668C85EDA1F2}"/>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'DU Pont '!$F$74:$I$74</c:f>
              <c:numCache>
                <c:formatCode>mmm\-yy</c:formatCode>
                <c:ptCount val="4"/>
                <c:pt idx="0">
                  <c:v>44651</c:v>
                </c:pt>
                <c:pt idx="1">
                  <c:v>45016</c:v>
                </c:pt>
                <c:pt idx="2">
                  <c:v>45382</c:v>
                </c:pt>
                <c:pt idx="3">
                  <c:v>45747</c:v>
                </c:pt>
              </c:numCache>
            </c:numRef>
          </c:cat>
          <c:val>
            <c:numRef>
              <c:f>'DU Pont '!$F$75:$I$75</c:f>
              <c:numCache>
                <c:formatCode>#,##0.0</c:formatCode>
                <c:ptCount val="4"/>
                <c:pt idx="0">
                  <c:v>1492.55</c:v>
                </c:pt>
                <c:pt idx="1">
                  <c:v>2378.5100000000002</c:v>
                </c:pt>
                <c:pt idx="2">
                  <c:v>2536.17</c:v>
                </c:pt>
                <c:pt idx="3">
                  <c:v>2708.02</c:v>
                </c:pt>
              </c:numCache>
            </c:numRef>
          </c:val>
          <c:extLst>
            <c:ext xmlns:c16="http://schemas.microsoft.com/office/drawing/2014/chart" uri="{C3380CC4-5D6E-409C-BE32-E72D297353CC}">
              <c16:uniqueId val="{00000006-B288-40AA-9C2F-668C85EDA1F2}"/>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 sourceLinked="1"/>
        <c:majorTickMark val="none"/>
        <c:minorTickMark val="none"/>
        <c:tickLblPos val="nextTo"/>
        <c:crossAx val="884029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E7FBE5"/>
              </a:solidFill>
              <a:ln>
                <a:noFill/>
              </a:ln>
              <a:effectLst/>
            </c:spPr>
            <c:extLst>
              <c:ext xmlns:c16="http://schemas.microsoft.com/office/drawing/2014/chart" uri="{C3380CC4-5D6E-409C-BE32-E72D297353CC}">
                <c16:uniqueId val="{00000001-14AC-48E2-A91C-C5A879EE9B37}"/>
              </c:ext>
            </c:extLst>
          </c:dPt>
          <c:dPt>
            <c:idx val="1"/>
            <c:invertIfNegative val="0"/>
            <c:bubble3D val="0"/>
            <c:spPr>
              <a:solidFill>
                <a:srgbClr val="B6F8BE"/>
              </a:solidFill>
              <a:ln>
                <a:noFill/>
              </a:ln>
              <a:effectLst/>
            </c:spPr>
            <c:extLst>
              <c:ext xmlns:c16="http://schemas.microsoft.com/office/drawing/2014/chart" uri="{C3380CC4-5D6E-409C-BE32-E72D297353CC}">
                <c16:uniqueId val="{00000003-14AC-48E2-A91C-C5A879EE9B37}"/>
              </c:ext>
            </c:extLst>
          </c:dPt>
          <c:dPt>
            <c:idx val="2"/>
            <c:invertIfNegative val="0"/>
            <c:bubble3D val="0"/>
            <c:spPr>
              <a:solidFill>
                <a:srgbClr val="41EB76"/>
              </a:solidFill>
              <a:ln>
                <a:noFill/>
              </a:ln>
              <a:effectLst/>
            </c:spPr>
            <c:extLst>
              <c:ext xmlns:c16="http://schemas.microsoft.com/office/drawing/2014/chart" uri="{C3380CC4-5D6E-409C-BE32-E72D297353CC}">
                <c16:uniqueId val="{00000005-14AC-48E2-A91C-C5A879EE9B37}"/>
              </c:ext>
            </c:extLst>
          </c:dPt>
          <c:dPt>
            <c:idx val="3"/>
            <c:invertIfNegative val="0"/>
            <c:bubble3D val="0"/>
            <c:spPr>
              <a:solidFill>
                <a:srgbClr val="028655"/>
              </a:solidFill>
              <a:ln>
                <a:noFill/>
              </a:ln>
              <a:effectLst/>
            </c:spPr>
            <c:extLst>
              <c:ext xmlns:c16="http://schemas.microsoft.com/office/drawing/2014/chart" uri="{C3380CC4-5D6E-409C-BE32-E72D297353CC}">
                <c16:uniqueId val="{00000007-14AC-48E2-A91C-C5A879EE9B37}"/>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'DU Pont '!$F$74:$I$74</c:f>
              <c:numCache>
                <c:formatCode>mmm\-yy</c:formatCode>
                <c:ptCount val="4"/>
                <c:pt idx="0">
                  <c:v>44651</c:v>
                </c:pt>
                <c:pt idx="1">
                  <c:v>45016</c:v>
                </c:pt>
                <c:pt idx="2">
                  <c:v>45382</c:v>
                </c:pt>
                <c:pt idx="3">
                  <c:v>45747</c:v>
                </c:pt>
              </c:numCache>
            </c:numRef>
          </c:cat>
          <c:val>
            <c:numRef>
              <c:f>'DU Pont '!$F$83:$I$83</c:f>
              <c:numCache>
                <c:formatCode>#,##0.0</c:formatCode>
                <c:ptCount val="4"/>
                <c:pt idx="0">
                  <c:v>14563.014999999999</c:v>
                </c:pt>
                <c:pt idx="1">
                  <c:v>16787.75</c:v>
                </c:pt>
                <c:pt idx="2">
                  <c:v>19638.5</c:v>
                </c:pt>
                <c:pt idx="3">
                  <c:v>22746.385000000002</c:v>
                </c:pt>
              </c:numCache>
            </c:numRef>
          </c:val>
          <c:extLst>
            <c:ext xmlns:c16="http://schemas.microsoft.com/office/drawing/2014/chart" uri="{C3380CC4-5D6E-409C-BE32-E72D297353CC}">
              <c16:uniqueId val="{00000008-14AC-48E2-A91C-C5A879EE9B37}"/>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 sourceLinked="1"/>
        <c:majorTickMark val="none"/>
        <c:minorTickMark val="none"/>
        <c:tickLblPos val="nextTo"/>
        <c:crossAx val="884029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E7FBE5"/>
              </a:solidFill>
              <a:ln>
                <a:noFill/>
              </a:ln>
              <a:effectLst/>
            </c:spPr>
            <c:extLst>
              <c:ext xmlns:c16="http://schemas.microsoft.com/office/drawing/2014/chart" uri="{C3380CC4-5D6E-409C-BE32-E72D297353CC}">
                <c16:uniqueId val="{00000001-7F2A-44A4-8B90-AC3E1AF1C57F}"/>
              </c:ext>
            </c:extLst>
          </c:dPt>
          <c:dPt>
            <c:idx val="1"/>
            <c:invertIfNegative val="0"/>
            <c:bubble3D val="0"/>
            <c:spPr>
              <a:solidFill>
                <a:srgbClr val="B6F8BE"/>
              </a:solidFill>
              <a:ln>
                <a:noFill/>
              </a:ln>
              <a:effectLst/>
            </c:spPr>
            <c:extLst>
              <c:ext xmlns:c16="http://schemas.microsoft.com/office/drawing/2014/chart" uri="{C3380CC4-5D6E-409C-BE32-E72D297353CC}">
                <c16:uniqueId val="{00000003-7F2A-44A4-8B90-AC3E1AF1C57F}"/>
              </c:ext>
            </c:extLst>
          </c:dPt>
          <c:dPt>
            <c:idx val="2"/>
            <c:invertIfNegative val="0"/>
            <c:bubble3D val="0"/>
            <c:spPr>
              <a:solidFill>
                <a:srgbClr val="41EB76"/>
              </a:solidFill>
              <a:ln>
                <a:noFill/>
              </a:ln>
              <a:effectLst/>
            </c:spPr>
            <c:extLst>
              <c:ext xmlns:c16="http://schemas.microsoft.com/office/drawing/2014/chart" uri="{C3380CC4-5D6E-409C-BE32-E72D297353CC}">
                <c16:uniqueId val="{00000005-7F2A-44A4-8B90-AC3E1AF1C57F}"/>
              </c:ext>
            </c:extLst>
          </c:dPt>
          <c:dPt>
            <c:idx val="3"/>
            <c:invertIfNegative val="0"/>
            <c:bubble3D val="0"/>
            <c:spPr>
              <a:solidFill>
                <a:srgbClr val="028655"/>
              </a:solidFill>
              <a:ln>
                <a:noFill/>
              </a:ln>
              <a:effectLst/>
            </c:spPr>
            <c:extLst>
              <c:ext xmlns:c16="http://schemas.microsoft.com/office/drawing/2014/chart" uri="{C3380CC4-5D6E-409C-BE32-E72D297353CC}">
                <c16:uniqueId val="{00000007-7F2A-44A4-8B90-AC3E1AF1C57F}"/>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'DU Pont '!$F$68:$I$68</c:f>
              <c:numCache>
                <c:formatCode>mmm\-yy</c:formatCode>
                <c:ptCount val="4"/>
                <c:pt idx="0">
                  <c:v>44651</c:v>
                </c:pt>
                <c:pt idx="1">
                  <c:v>45016</c:v>
                </c:pt>
                <c:pt idx="2">
                  <c:v>45382</c:v>
                </c:pt>
                <c:pt idx="3">
                  <c:v>45747</c:v>
                </c:pt>
              </c:numCache>
            </c:numRef>
          </c:cat>
          <c:val>
            <c:numRef>
              <c:f>'DU Pont '!$F$71:$I$71</c:f>
              <c:numCache>
                <c:formatCode>0.00%</c:formatCode>
                <c:ptCount val="4"/>
                <c:pt idx="0">
                  <c:v>7.8462223479211224E-2</c:v>
                </c:pt>
                <c:pt idx="1">
                  <c:v>0.10952300479946807</c:v>
                </c:pt>
                <c:pt idx="2">
                  <c:v>9.974079357045354E-2</c:v>
                </c:pt>
                <c:pt idx="3">
                  <c:v>9.2072898212768761E-2</c:v>
                </c:pt>
              </c:numCache>
            </c:numRef>
          </c:val>
          <c:extLst>
            <c:ext xmlns:c16="http://schemas.microsoft.com/office/drawing/2014/chart" uri="{C3380CC4-5D6E-409C-BE32-E72D297353CC}">
              <c16:uniqueId val="{00000008-7F2A-44A4-8B90-AC3E1AF1C57F}"/>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0%" sourceLinked="1"/>
        <c:majorTickMark val="none"/>
        <c:minorTickMark val="none"/>
        <c:tickLblPos val="nextTo"/>
        <c:crossAx val="884029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E7FBE5"/>
              </a:solidFill>
              <a:ln>
                <a:noFill/>
              </a:ln>
              <a:effectLst/>
            </c:spPr>
            <c:extLst>
              <c:ext xmlns:c16="http://schemas.microsoft.com/office/drawing/2014/chart" uri="{C3380CC4-5D6E-409C-BE32-E72D297353CC}">
                <c16:uniqueId val="{00000001-E48D-4C5B-96FA-47D5BF8378D2}"/>
              </c:ext>
            </c:extLst>
          </c:dPt>
          <c:dPt>
            <c:idx val="1"/>
            <c:invertIfNegative val="0"/>
            <c:bubble3D val="0"/>
            <c:spPr>
              <a:solidFill>
                <a:srgbClr val="B6F8BE"/>
              </a:solidFill>
              <a:ln>
                <a:noFill/>
              </a:ln>
              <a:effectLst/>
            </c:spPr>
            <c:extLst>
              <c:ext xmlns:c16="http://schemas.microsoft.com/office/drawing/2014/chart" uri="{C3380CC4-5D6E-409C-BE32-E72D297353CC}">
                <c16:uniqueId val="{00000003-E48D-4C5B-96FA-47D5BF8378D2}"/>
              </c:ext>
            </c:extLst>
          </c:dPt>
          <c:dPt>
            <c:idx val="2"/>
            <c:invertIfNegative val="0"/>
            <c:bubble3D val="0"/>
            <c:spPr>
              <a:solidFill>
                <a:srgbClr val="41EB76"/>
              </a:solidFill>
              <a:ln>
                <a:noFill/>
              </a:ln>
              <a:effectLst/>
            </c:spPr>
            <c:extLst>
              <c:ext xmlns:c16="http://schemas.microsoft.com/office/drawing/2014/chart" uri="{C3380CC4-5D6E-409C-BE32-E72D297353CC}">
                <c16:uniqueId val="{00000005-E48D-4C5B-96FA-47D5BF8378D2}"/>
              </c:ext>
            </c:extLst>
          </c:dPt>
          <c:dPt>
            <c:idx val="3"/>
            <c:invertIfNegative val="0"/>
            <c:bubble3D val="0"/>
            <c:spPr>
              <a:solidFill>
                <a:srgbClr val="028655"/>
              </a:solidFill>
              <a:ln>
                <a:solidFill>
                  <a:srgbClr val="028655"/>
                </a:solidFill>
              </a:ln>
              <a:effectLst/>
            </c:spPr>
            <c:extLst>
              <c:ext xmlns:c16="http://schemas.microsoft.com/office/drawing/2014/chart" uri="{C3380CC4-5D6E-409C-BE32-E72D297353CC}">
                <c16:uniqueId val="{00000007-E48D-4C5B-96FA-47D5BF8378D2}"/>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'DU Pont '!$F$90:$I$90</c:f>
              <c:numCache>
                <c:formatCode>mmm\-yy</c:formatCode>
                <c:ptCount val="4"/>
                <c:pt idx="0">
                  <c:v>44651</c:v>
                </c:pt>
                <c:pt idx="1">
                  <c:v>45016</c:v>
                </c:pt>
                <c:pt idx="2">
                  <c:v>45382</c:v>
                </c:pt>
                <c:pt idx="3">
                  <c:v>45747</c:v>
                </c:pt>
              </c:numCache>
            </c:numRef>
          </c:cat>
          <c:val>
            <c:numRef>
              <c:f>'DU Pont '!$F$93:$I$93</c:f>
              <c:numCache>
                <c:formatCode>0.00%</c:formatCode>
                <c:ptCount val="4"/>
                <c:pt idx="0">
                  <c:v>0.10248907935616354</c:v>
                </c:pt>
                <c:pt idx="1">
                  <c:v>0.14168128546112493</c:v>
                </c:pt>
                <c:pt idx="2">
                  <c:v>0.12914275530208519</c:v>
                </c:pt>
                <c:pt idx="3">
                  <c:v>0.11905276376883622</c:v>
                </c:pt>
              </c:numCache>
            </c:numRef>
          </c:val>
          <c:extLst>
            <c:ext xmlns:c16="http://schemas.microsoft.com/office/drawing/2014/chart" uri="{C3380CC4-5D6E-409C-BE32-E72D297353CC}">
              <c16:uniqueId val="{00000008-E48D-4C5B-96FA-47D5BF8378D2}"/>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0%" sourceLinked="1"/>
        <c:majorTickMark val="none"/>
        <c:minorTickMark val="none"/>
        <c:tickLblPos val="nextTo"/>
        <c:crossAx val="884029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E7FBE5"/>
              </a:solidFill>
              <a:ln>
                <a:noFill/>
              </a:ln>
              <a:effectLst/>
            </c:spPr>
            <c:extLst>
              <c:ext xmlns:c16="http://schemas.microsoft.com/office/drawing/2014/chart" uri="{C3380CC4-5D6E-409C-BE32-E72D297353CC}">
                <c16:uniqueId val="{00000001-E04E-49F0-AB73-B37246C711A2}"/>
              </c:ext>
            </c:extLst>
          </c:dPt>
          <c:dPt>
            <c:idx val="1"/>
            <c:invertIfNegative val="0"/>
            <c:bubble3D val="0"/>
            <c:spPr>
              <a:solidFill>
                <a:srgbClr val="B6F8BE"/>
              </a:solidFill>
              <a:ln>
                <a:noFill/>
              </a:ln>
              <a:effectLst/>
            </c:spPr>
            <c:extLst>
              <c:ext xmlns:c16="http://schemas.microsoft.com/office/drawing/2014/chart" uri="{C3380CC4-5D6E-409C-BE32-E72D297353CC}">
                <c16:uniqueId val="{00000003-E04E-49F0-AB73-B37246C711A2}"/>
              </c:ext>
            </c:extLst>
          </c:dPt>
          <c:dPt>
            <c:idx val="2"/>
            <c:invertIfNegative val="0"/>
            <c:bubble3D val="0"/>
            <c:spPr>
              <a:solidFill>
                <a:srgbClr val="41EB76"/>
              </a:solidFill>
              <a:ln>
                <a:noFill/>
              </a:ln>
              <a:effectLst/>
            </c:spPr>
            <c:extLst>
              <c:ext xmlns:c16="http://schemas.microsoft.com/office/drawing/2014/chart" uri="{C3380CC4-5D6E-409C-BE32-E72D297353CC}">
                <c16:uniqueId val="{00000005-E04E-49F0-AB73-B37246C711A2}"/>
              </c:ext>
            </c:extLst>
          </c:dPt>
          <c:dPt>
            <c:idx val="3"/>
            <c:invertIfNegative val="0"/>
            <c:bubble3D val="0"/>
            <c:spPr>
              <a:solidFill>
                <a:srgbClr val="028655"/>
              </a:solidFill>
              <a:ln>
                <a:solidFill>
                  <a:srgbClr val="028655"/>
                </a:solidFill>
              </a:ln>
              <a:effectLst/>
            </c:spPr>
            <c:extLst>
              <c:ext xmlns:c16="http://schemas.microsoft.com/office/drawing/2014/chart" uri="{C3380CC4-5D6E-409C-BE32-E72D297353CC}">
                <c16:uniqueId val="{00000007-E04E-49F0-AB73-B37246C711A2}"/>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'DU Pont '!$F$74:$I$74</c:f>
              <c:numCache>
                <c:formatCode>mmm\-yy</c:formatCode>
                <c:ptCount val="4"/>
                <c:pt idx="0">
                  <c:v>44651</c:v>
                </c:pt>
                <c:pt idx="1">
                  <c:v>45016</c:v>
                </c:pt>
                <c:pt idx="2">
                  <c:v>45382</c:v>
                </c:pt>
                <c:pt idx="3">
                  <c:v>45747</c:v>
                </c:pt>
              </c:numCache>
            </c:numRef>
          </c:cat>
          <c:val>
            <c:numRef>
              <c:f>'DU Pont '!$F$85:$I$85</c:f>
              <c:numCache>
                <c:formatCode>0.00\x</c:formatCode>
                <c:ptCount val="4"/>
                <c:pt idx="0">
                  <c:v>0.76556667278222179</c:v>
                </c:pt>
                <c:pt idx="1">
                  <c:v>0.77302379381304676</c:v>
                </c:pt>
                <c:pt idx="2">
                  <c:v>0.77232976280507681</c:v>
                </c:pt>
                <c:pt idx="3">
                  <c:v>0.77337892290804733</c:v>
                </c:pt>
              </c:numCache>
            </c:numRef>
          </c:val>
          <c:extLst>
            <c:ext xmlns:c16="http://schemas.microsoft.com/office/drawing/2014/chart" uri="{C3380CC4-5D6E-409C-BE32-E72D297353CC}">
              <c16:uniqueId val="{00000008-E04E-49F0-AB73-B37246C711A2}"/>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0\x" sourceLinked="1"/>
        <c:majorTickMark val="none"/>
        <c:minorTickMark val="none"/>
        <c:tickLblPos val="nextTo"/>
        <c:crossAx val="884029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2.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6</xdr:col>
      <xdr:colOff>177164</xdr:colOff>
      <xdr:row>1</xdr:row>
      <xdr:rowOff>133350</xdr:rowOff>
    </xdr:from>
    <xdr:to>
      <xdr:col>8</xdr:col>
      <xdr:colOff>578699</xdr:colOff>
      <xdr:row>4</xdr:row>
      <xdr:rowOff>24654</xdr:rowOff>
    </xdr:to>
    <xdr:pic>
      <xdr:nvPicPr>
        <xdr:cNvPr id="24" name="Picture 23">
          <a:extLst>
            <a:ext uri="{FF2B5EF4-FFF2-40B4-BE49-F238E27FC236}">
              <a16:creationId xmlns:a16="http://schemas.microsoft.com/office/drawing/2014/main" id="{9069E5B1-FC39-8288-4310-DEEE699DFF76}"/>
            </a:ext>
          </a:extLst>
        </xdr:cNvPr>
        <xdr:cNvPicPr>
          <a:picLocks noChangeAspect="1" noChangeArrowheads="1"/>
        </xdr:cNvPicPr>
      </xdr:nvPicPr>
      <xdr:blipFill rotWithShape="1">
        <a:blip xmlns:r="http://schemas.openxmlformats.org/officeDocument/2006/relationships" r:embed="rId1" cstate="hqprint">
          <a:extLst>
            <a:ext uri="{28A0092B-C50C-407E-A947-70E740481C1C}">
              <a14:useLocalDpi xmlns:a14="http://schemas.microsoft.com/office/drawing/2010/main" val="0"/>
            </a:ext>
          </a:extLst>
        </a:blip>
        <a:srcRect t="25315" b="23116"/>
        <a:stretch/>
      </xdr:blipFill>
      <xdr:spPr bwMode="auto">
        <a:xfrm>
          <a:off x="5177789" y="266700"/>
          <a:ext cx="1609726" cy="4628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3661</xdr:colOff>
      <xdr:row>16</xdr:row>
      <xdr:rowOff>117625</xdr:rowOff>
    </xdr:from>
    <xdr:to>
      <xdr:col>1</xdr:col>
      <xdr:colOff>1934883</xdr:colOff>
      <xdr:row>24</xdr:row>
      <xdr:rowOff>147938</xdr:rowOff>
    </xdr:to>
    <xdr:graphicFrame macro="">
      <xdr:nvGraphicFramePr>
        <xdr:cNvPr id="25" name="Chart 24">
          <a:extLst>
            <a:ext uri="{FF2B5EF4-FFF2-40B4-BE49-F238E27FC236}">
              <a16:creationId xmlns:a16="http://schemas.microsoft.com/office/drawing/2014/main" id="{F1086B5E-DFFF-4C13-3590-DF66891987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193754</xdr:colOff>
      <xdr:row>15</xdr:row>
      <xdr:rowOff>54408</xdr:rowOff>
    </xdr:from>
    <xdr:to>
      <xdr:col>1</xdr:col>
      <xdr:colOff>1602107</xdr:colOff>
      <xdr:row>16</xdr:row>
      <xdr:rowOff>63600</xdr:rowOff>
    </xdr:to>
    <xdr:sp macro="" textlink="">
      <xdr:nvSpPr>
        <xdr:cNvPr id="26" name="TextBox 25">
          <a:extLst>
            <a:ext uri="{FF2B5EF4-FFF2-40B4-BE49-F238E27FC236}">
              <a16:creationId xmlns:a16="http://schemas.microsoft.com/office/drawing/2014/main" id="{B7B023E8-0B2E-E197-E6CC-8422D3A230FE}"/>
            </a:ext>
          </a:extLst>
        </xdr:cNvPr>
        <xdr:cNvSpPr txBox="1"/>
      </xdr:nvSpPr>
      <xdr:spPr>
        <a:xfrm>
          <a:off x="317579" y="3340533"/>
          <a:ext cx="1408353" cy="199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28655"/>
              </a:solidFill>
              <a:latin typeface="+mn-lt"/>
            </a:rPr>
            <a:t>Revenues (INR</a:t>
          </a:r>
          <a:r>
            <a:rPr lang="en-IN" sz="1050" b="1" baseline="0">
              <a:solidFill>
                <a:srgbClr val="028655"/>
              </a:solidFill>
              <a:latin typeface="+mn-lt"/>
            </a:rPr>
            <a:t> Crs.)</a:t>
          </a:r>
          <a:endParaRPr lang="en-IN" sz="1050" b="1">
            <a:solidFill>
              <a:srgbClr val="028655"/>
            </a:solidFill>
            <a:latin typeface="+mn-lt"/>
          </a:endParaRPr>
        </a:p>
      </xdr:txBody>
    </xdr:sp>
    <xdr:clientData/>
  </xdr:twoCellAnchor>
  <xdr:twoCellAnchor>
    <xdr:from>
      <xdr:col>1</xdr:col>
      <xdr:colOff>46580</xdr:colOff>
      <xdr:row>15</xdr:row>
      <xdr:rowOff>67734</xdr:rowOff>
    </xdr:from>
    <xdr:to>
      <xdr:col>1</xdr:col>
      <xdr:colOff>1701800</xdr:colOff>
      <xdr:row>15</xdr:row>
      <xdr:rowOff>72950</xdr:rowOff>
    </xdr:to>
    <xdr:cxnSp macro="">
      <xdr:nvCxnSpPr>
        <xdr:cNvPr id="27" name="Straight Connector 26">
          <a:extLst>
            <a:ext uri="{FF2B5EF4-FFF2-40B4-BE49-F238E27FC236}">
              <a16:creationId xmlns:a16="http://schemas.microsoft.com/office/drawing/2014/main" id="{F6AC0360-765E-8BB5-D6DF-85227E1B8005}"/>
            </a:ext>
          </a:extLst>
        </xdr:cNvPr>
        <xdr:cNvCxnSpPr/>
      </xdr:nvCxnSpPr>
      <xdr:spPr>
        <a:xfrm flipV="1">
          <a:off x="170405" y="3353859"/>
          <a:ext cx="1655220" cy="5216"/>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218220</xdr:colOff>
      <xdr:row>15</xdr:row>
      <xdr:rowOff>41371</xdr:rowOff>
    </xdr:from>
    <xdr:to>
      <xdr:col>4</xdr:col>
      <xdr:colOff>334012</xdr:colOff>
      <xdr:row>16</xdr:row>
      <xdr:rowOff>54373</xdr:rowOff>
    </xdr:to>
    <xdr:sp macro="" textlink="">
      <xdr:nvSpPr>
        <xdr:cNvPr id="28" name="TextBox 27">
          <a:extLst>
            <a:ext uri="{FF2B5EF4-FFF2-40B4-BE49-F238E27FC236}">
              <a16:creationId xmlns:a16="http://schemas.microsoft.com/office/drawing/2014/main" id="{73B209D1-EFE5-4A87-B29D-79505F60BF0E}"/>
            </a:ext>
          </a:extLst>
        </xdr:cNvPr>
        <xdr:cNvSpPr txBox="1"/>
      </xdr:nvSpPr>
      <xdr:spPr>
        <a:xfrm>
          <a:off x="2723295" y="3327496"/>
          <a:ext cx="1392142" cy="203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28655"/>
              </a:solidFill>
              <a:latin typeface="+mn-lt"/>
            </a:rPr>
            <a:t>Net Profit (INR</a:t>
          </a:r>
          <a:r>
            <a:rPr lang="en-IN" sz="1050" b="1" baseline="0">
              <a:solidFill>
                <a:srgbClr val="028655"/>
              </a:solidFill>
              <a:latin typeface="+mn-lt"/>
            </a:rPr>
            <a:t> Crs.)</a:t>
          </a:r>
          <a:endParaRPr lang="en-IN" sz="1050" b="1">
            <a:solidFill>
              <a:srgbClr val="028655"/>
            </a:solidFill>
            <a:latin typeface="+mn-lt"/>
          </a:endParaRPr>
        </a:p>
      </xdr:txBody>
    </xdr:sp>
    <xdr:clientData/>
  </xdr:twoCellAnchor>
  <xdr:twoCellAnchor>
    <xdr:from>
      <xdr:col>5</xdr:col>
      <xdr:colOff>459268</xdr:colOff>
      <xdr:row>15</xdr:row>
      <xdr:rowOff>51507</xdr:rowOff>
    </xdr:from>
    <xdr:to>
      <xdr:col>8</xdr:col>
      <xdr:colOff>574885</xdr:colOff>
      <xdr:row>16</xdr:row>
      <xdr:rowOff>77258</xdr:rowOff>
    </xdr:to>
    <xdr:sp macro="" textlink="">
      <xdr:nvSpPr>
        <xdr:cNvPr id="29" name="TextBox 28">
          <a:extLst>
            <a:ext uri="{FF2B5EF4-FFF2-40B4-BE49-F238E27FC236}">
              <a16:creationId xmlns:a16="http://schemas.microsoft.com/office/drawing/2014/main" id="{F1033CB5-641B-43D8-A4AF-7F28247BA08C}"/>
            </a:ext>
          </a:extLst>
        </xdr:cNvPr>
        <xdr:cNvSpPr txBox="1"/>
      </xdr:nvSpPr>
      <xdr:spPr>
        <a:xfrm>
          <a:off x="4850293" y="3337632"/>
          <a:ext cx="1944417" cy="21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28655"/>
              </a:solidFill>
              <a:latin typeface="+mn-lt"/>
            </a:rPr>
            <a:t>Average Total Assets (INR</a:t>
          </a:r>
          <a:r>
            <a:rPr lang="en-IN" sz="1050" b="1" baseline="0">
              <a:solidFill>
                <a:srgbClr val="028655"/>
              </a:solidFill>
              <a:latin typeface="+mn-lt"/>
            </a:rPr>
            <a:t> Crs.)</a:t>
          </a:r>
          <a:endParaRPr lang="en-IN" sz="1050" b="1">
            <a:solidFill>
              <a:srgbClr val="028655"/>
            </a:solidFill>
            <a:latin typeface="+mn-lt"/>
          </a:endParaRPr>
        </a:p>
      </xdr:txBody>
    </xdr:sp>
    <xdr:clientData/>
  </xdr:twoCellAnchor>
  <xdr:twoCellAnchor>
    <xdr:from>
      <xdr:col>1</xdr:col>
      <xdr:colOff>2551339</xdr:colOff>
      <xdr:row>16</xdr:row>
      <xdr:rowOff>129140</xdr:rowOff>
    </xdr:from>
    <xdr:to>
      <xdr:col>4</xdr:col>
      <xdr:colOff>540063</xdr:colOff>
      <xdr:row>24</xdr:row>
      <xdr:rowOff>163263</xdr:rowOff>
    </xdr:to>
    <xdr:graphicFrame macro="">
      <xdr:nvGraphicFramePr>
        <xdr:cNvPr id="30" name="Chart 29">
          <a:extLst>
            <a:ext uri="{FF2B5EF4-FFF2-40B4-BE49-F238E27FC236}">
              <a16:creationId xmlns:a16="http://schemas.microsoft.com/office/drawing/2014/main" id="{D338E88C-C409-4985-8EB5-661DDC0779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90715</xdr:colOff>
      <xdr:row>16</xdr:row>
      <xdr:rowOff>109157</xdr:rowOff>
    </xdr:from>
    <xdr:to>
      <xdr:col>9</xdr:col>
      <xdr:colOff>136071</xdr:colOff>
      <xdr:row>24</xdr:row>
      <xdr:rowOff>145185</xdr:rowOff>
    </xdr:to>
    <xdr:graphicFrame macro="">
      <xdr:nvGraphicFramePr>
        <xdr:cNvPr id="31" name="Chart 30">
          <a:extLst>
            <a:ext uri="{FF2B5EF4-FFF2-40B4-BE49-F238E27FC236}">
              <a16:creationId xmlns:a16="http://schemas.microsoft.com/office/drawing/2014/main" id="{33D29D89-1D55-4F80-9BC8-92F85A15F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16933</xdr:colOff>
      <xdr:row>28</xdr:row>
      <xdr:rowOff>51237</xdr:rowOff>
    </xdr:from>
    <xdr:to>
      <xdr:col>1</xdr:col>
      <xdr:colOff>1951965</xdr:colOff>
      <xdr:row>36</xdr:row>
      <xdr:rowOff>83454</xdr:rowOff>
    </xdr:to>
    <xdr:graphicFrame macro="">
      <xdr:nvGraphicFramePr>
        <xdr:cNvPr id="32" name="Chart 31">
          <a:extLst>
            <a:ext uri="{FF2B5EF4-FFF2-40B4-BE49-F238E27FC236}">
              <a16:creationId xmlns:a16="http://schemas.microsoft.com/office/drawing/2014/main" id="{1CF118B4-9DBA-4828-A2B4-9A7BC92A1A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219304</xdr:colOff>
      <xdr:row>26</xdr:row>
      <xdr:rowOff>180847</xdr:rowOff>
    </xdr:from>
    <xdr:to>
      <xdr:col>1</xdr:col>
      <xdr:colOff>1627657</xdr:colOff>
      <xdr:row>27</xdr:row>
      <xdr:rowOff>188135</xdr:rowOff>
    </xdr:to>
    <xdr:sp macro="" textlink="">
      <xdr:nvSpPr>
        <xdr:cNvPr id="33" name="TextBox 32">
          <a:extLst>
            <a:ext uri="{FF2B5EF4-FFF2-40B4-BE49-F238E27FC236}">
              <a16:creationId xmlns:a16="http://schemas.microsoft.com/office/drawing/2014/main" id="{64F0EF42-3F27-47B8-BD4F-A7DD6B9A9B66}"/>
            </a:ext>
          </a:extLst>
        </xdr:cNvPr>
        <xdr:cNvSpPr txBox="1"/>
      </xdr:nvSpPr>
      <xdr:spPr>
        <a:xfrm>
          <a:off x="343129" y="5562472"/>
          <a:ext cx="1408353" cy="197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28655"/>
              </a:solidFill>
              <a:latin typeface="+mn-lt"/>
            </a:rPr>
            <a:t>Return on Equity (%)</a:t>
          </a:r>
        </a:p>
      </xdr:txBody>
    </xdr:sp>
    <xdr:clientData/>
  </xdr:twoCellAnchor>
  <xdr:twoCellAnchor>
    <xdr:from>
      <xdr:col>2</xdr:col>
      <xdr:colOff>249271</xdr:colOff>
      <xdr:row>26</xdr:row>
      <xdr:rowOff>155944</xdr:rowOff>
    </xdr:from>
    <xdr:to>
      <xdr:col>4</xdr:col>
      <xdr:colOff>363158</xdr:colOff>
      <xdr:row>27</xdr:row>
      <xdr:rowOff>180377</xdr:rowOff>
    </xdr:to>
    <xdr:sp macro="" textlink="">
      <xdr:nvSpPr>
        <xdr:cNvPr id="34" name="TextBox 33">
          <a:extLst>
            <a:ext uri="{FF2B5EF4-FFF2-40B4-BE49-F238E27FC236}">
              <a16:creationId xmlns:a16="http://schemas.microsoft.com/office/drawing/2014/main" id="{E241296C-9003-4F5A-A783-0F8ECA8E95F0}"/>
            </a:ext>
          </a:extLst>
        </xdr:cNvPr>
        <xdr:cNvSpPr txBox="1"/>
      </xdr:nvSpPr>
      <xdr:spPr>
        <a:xfrm>
          <a:off x="2754346" y="5537569"/>
          <a:ext cx="1390237" cy="214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28655"/>
              </a:solidFill>
              <a:latin typeface="+mn-lt"/>
            </a:rPr>
            <a:t>Return</a:t>
          </a:r>
          <a:r>
            <a:rPr lang="en-IN" sz="1050" b="1" baseline="0">
              <a:solidFill>
                <a:srgbClr val="028655"/>
              </a:solidFill>
              <a:latin typeface="+mn-lt"/>
            </a:rPr>
            <a:t> on Asset (%)</a:t>
          </a:r>
          <a:endParaRPr lang="en-IN" sz="1050" b="1">
            <a:solidFill>
              <a:srgbClr val="028655"/>
            </a:solidFill>
            <a:latin typeface="+mn-lt"/>
          </a:endParaRPr>
        </a:p>
      </xdr:txBody>
    </xdr:sp>
    <xdr:clientData/>
  </xdr:twoCellAnchor>
  <xdr:twoCellAnchor>
    <xdr:from>
      <xdr:col>1</xdr:col>
      <xdr:colOff>2562679</xdr:colOff>
      <xdr:row>28</xdr:row>
      <xdr:rowOff>60411</xdr:rowOff>
    </xdr:from>
    <xdr:to>
      <xdr:col>4</xdr:col>
      <xdr:colOff>539153</xdr:colOff>
      <xdr:row>36</xdr:row>
      <xdr:rowOff>94533</xdr:rowOff>
    </xdr:to>
    <xdr:graphicFrame macro="">
      <xdr:nvGraphicFramePr>
        <xdr:cNvPr id="35" name="Chart 34">
          <a:extLst>
            <a:ext uri="{FF2B5EF4-FFF2-40B4-BE49-F238E27FC236}">
              <a16:creationId xmlns:a16="http://schemas.microsoft.com/office/drawing/2014/main" id="{CA94DF9B-FAFD-44D9-B86E-E7CF3CA6C0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134310</xdr:colOff>
      <xdr:row>26</xdr:row>
      <xdr:rowOff>146136</xdr:rowOff>
    </xdr:from>
    <xdr:to>
      <xdr:col>8</xdr:col>
      <xdr:colOff>315084</xdr:colOff>
      <xdr:row>27</xdr:row>
      <xdr:rowOff>149614</xdr:rowOff>
    </xdr:to>
    <xdr:sp macro="" textlink="">
      <xdr:nvSpPr>
        <xdr:cNvPr id="36" name="TextBox 35">
          <a:extLst>
            <a:ext uri="{FF2B5EF4-FFF2-40B4-BE49-F238E27FC236}">
              <a16:creationId xmlns:a16="http://schemas.microsoft.com/office/drawing/2014/main" id="{CD8868A1-D8C4-4BD4-9656-D859D65F62A1}"/>
            </a:ext>
          </a:extLst>
        </xdr:cNvPr>
        <xdr:cNvSpPr txBox="1"/>
      </xdr:nvSpPr>
      <xdr:spPr>
        <a:xfrm>
          <a:off x="5134935" y="5527761"/>
          <a:ext cx="1399974" cy="193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28655"/>
              </a:solidFill>
              <a:latin typeface="+mn-lt"/>
            </a:rPr>
            <a:t>Financial Leverage</a:t>
          </a:r>
        </a:p>
      </xdr:txBody>
    </xdr:sp>
    <xdr:clientData/>
  </xdr:twoCellAnchor>
  <xdr:twoCellAnchor>
    <xdr:from>
      <xdr:col>5</xdr:col>
      <xdr:colOff>45356</xdr:colOff>
      <xdr:row>28</xdr:row>
      <xdr:rowOff>63513</xdr:rowOff>
    </xdr:from>
    <xdr:to>
      <xdr:col>9</xdr:col>
      <xdr:colOff>238124</xdr:colOff>
      <xdr:row>36</xdr:row>
      <xdr:rowOff>101445</xdr:rowOff>
    </xdr:to>
    <xdr:graphicFrame macro="">
      <xdr:nvGraphicFramePr>
        <xdr:cNvPr id="37" name="Chart 36">
          <a:extLst>
            <a:ext uri="{FF2B5EF4-FFF2-40B4-BE49-F238E27FC236}">
              <a16:creationId xmlns:a16="http://schemas.microsoft.com/office/drawing/2014/main" id="{C0C96841-DF53-4B86-8B2A-3C3A3CE38F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109222</xdr:colOff>
      <xdr:row>37</xdr:row>
      <xdr:rowOff>119026</xdr:rowOff>
    </xdr:from>
    <xdr:to>
      <xdr:col>9</xdr:col>
      <xdr:colOff>102660</xdr:colOff>
      <xdr:row>60</xdr:row>
      <xdr:rowOff>0</xdr:rowOff>
    </xdr:to>
    <xdr:sp macro="" textlink="">
      <xdr:nvSpPr>
        <xdr:cNvPr id="38" name="TextBox 37">
          <a:extLst>
            <a:ext uri="{FF2B5EF4-FFF2-40B4-BE49-F238E27FC236}">
              <a16:creationId xmlns:a16="http://schemas.microsoft.com/office/drawing/2014/main" id="{A46C8345-F2E9-48A8-16B1-9BDC75D93946}"/>
            </a:ext>
          </a:extLst>
        </xdr:cNvPr>
        <xdr:cNvSpPr txBox="1"/>
      </xdr:nvSpPr>
      <xdr:spPr>
        <a:xfrm>
          <a:off x="109222" y="7596151"/>
          <a:ext cx="6822863" cy="2975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 typeface="Arial" panose="020B0604020202020204" pitchFamily="34" charset="0"/>
            <a:buNone/>
            <a:tabLst/>
            <a:defRPr/>
          </a:pPr>
          <a:r>
            <a:rPr lang="en-IN" sz="1400" b="1" i="0">
              <a:solidFill>
                <a:srgbClr val="028655"/>
              </a:solidFill>
              <a:effectLst/>
              <a:latin typeface="+mn-lt"/>
              <a:ea typeface="+mn-ea"/>
              <a:cs typeface="+mn-cs"/>
            </a:rPr>
            <a:t>Recent Updates</a:t>
          </a: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dk1"/>
              </a:solidFill>
              <a:effectLst/>
              <a:latin typeface="+mn-lt"/>
              <a:ea typeface="+mn-ea"/>
              <a:cs typeface="+mn-cs"/>
            </a:rPr>
            <a:t>DMart’s EBITDA margins fell to 6.4% in Q4 FY25 from 7.4% a year earlier, even though EBITDA rose 1.2% YoY to ₹955 crore.</a:t>
          </a: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dk1"/>
              </a:solidFill>
              <a:effectLst/>
              <a:latin typeface="+mn-lt"/>
              <a:ea typeface="+mn-ea"/>
              <a:cs typeface="+mn-cs"/>
            </a:rPr>
            <a:t>The retailer’s earnings per share (EPS) decreased slightly to ₹8.47, compared to ₹8.66 in the corresponding quarter of the previous year.</a:t>
          </a: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IN" sz="1200" b="0" i="0">
            <a:solidFill>
              <a:schemeClr val="dk1"/>
            </a:solidFill>
            <a:effectLst/>
            <a:latin typeface="+mn-lt"/>
            <a:ea typeface="+mn-ea"/>
            <a:cs typeface="+mn-cs"/>
          </a:endParaRP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dk1"/>
              </a:solidFill>
              <a:effectLst/>
              <a:latin typeface="+mn-lt"/>
              <a:ea typeface="+mn-ea"/>
              <a:cs typeface="+mn-cs"/>
            </a:rPr>
            <a:t>Same-store sales growth (SSSG) for stores older than two years stood at ~8.1% in H2 FY25, compared to 10.3% in the same period of FY24.</a:t>
          </a: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dk1"/>
              </a:solidFill>
              <a:effectLst/>
              <a:latin typeface="+mn-lt"/>
              <a:ea typeface="+mn-ea"/>
              <a:cs typeface="+mn-cs"/>
            </a:rPr>
            <a:t>In FY25, over 58% of revenue came from the foods division, 20% from FMCG, and around 22% from general merchandise and apparel.</a:t>
          </a: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dk1"/>
              </a:solidFill>
              <a:effectLst/>
              <a:latin typeface="+mn-lt"/>
              <a:ea typeface="+mn-ea"/>
              <a:cs typeface="+mn-cs"/>
            </a:rPr>
            <a:t>With discretionary products underperforming again this year, gross margins came in below estimates at 14.0% during Q4 FY25.</a:t>
          </a: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IN" sz="1200" b="0" i="0">
            <a:solidFill>
              <a:schemeClr val="dk1"/>
            </a:solidFill>
            <a:effectLst/>
            <a:latin typeface="+mn-lt"/>
            <a:ea typeface="+mn-ea"/>
            <a:cs typeface="+mn-cs"/>
          </a:endParaRP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dk1"/>
              </a:solidFill>
              <a:effectLst/>
              <a:latin typeface="+mn-lt"/>
              <a:ea typeface="+mn-ea"/>
              <a:cs typeface="+mn-cs"/>
            </a:rPr>
            <a:t>Operating expenses (Opex) grew at a faster pace—approximately 22–25% YoY, exceeding revenue growth of ~16.9%.</a:t>
          </a: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dk1"/>
              </a:solidFill>
              <a:effectLst/>
              <a:latin typeface="+mn-lt"/>
              <a:ea typeface="+mn-ea"/>
              <a:cs typeface="+mn-cs"/>
            </a:rPr>
            <a:t>As a result, EBITDA margins compressed by ~100 basis points YoY to 6.4% in Q4 FY25.</a:t>
          </a: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dk1"/>
              </a:solidFill>
              <a:effectLst/>
              <a:latin typeface="+mn-lt"/>
              <a:ea typeface="+mn-ea"/>
              <a:cs typeface="+mn-cs"/>
            </a:rPr>
            <a:t>Depreciation expenses rose 12% YoY, further impacting profitability.</a:t>
          </a: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IN" sz="1200" b="0" i="0">
            <a:solidFill>
              <a:schemeClr val="dk1"/>
            </a:solidFill>
            <a:effectLst/>
            <a:latin typeface="+mn-lt"/>
            <a:ea typeface="+mn-ea"/>
            <a:cs typeface="+mn-cs"/>
          </a:endParaRP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dk1"/>
              </a:solidFill>
              <a:effectLst/>
              <a:latin typeface="+mn-lt"/>
              <a:ea typeface="+mn-ea"/>
              <a:cs typeface="+mn-cs"/>
            </a:rPr>
            <a:t>The company’s profit before tax (PBT) stood at ₹720.3 crore, below I-direct’s estimate of ₹759–₹765 crore, and down ~5.6% YoY.</a:t>
          </a: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dk1"/>
              </a:solidFill>
              <a:effectLst/>
              <a:latin typeface="+mn-lt"/>
              <a:ea typeface="+mn-ea"/>
              <a:cs typeface="+mn-cs"/>
            </a:rPr>
            <a:t>A slightly lower effective tax rate of ~24.5% vs 26–30% in Q4 FY24 helped report a post-tax profit (PAT) of ₹551 crore for the quarter.</a:t>
          </a:r>
          <a:r>
            <a:rPr lang="en-IN" sz="1200"/>
            <a:t/>
          </a:r>
          <a:br>
            <a:rPr lang="en-IN" sz="1200"/>
          </a:br>
          <a:r>
            <a:rPr lang="en-IN" sz="1200"/>
            <a:t/>
          </a:r>
          <a:br>
            <a:rPr lang="en-IN" sz="1200"/>
          </a:br>
          <a:r>
            <a:rPr lang="en-IN" sz="1200"/>
            <a:t/>
          </a:r>
          <a:br>
            <a:rPr lang="en-IN" sz="1200"/>
          </a:br>
          <a:endParaRPr lang="en-IN" sz="1200" b="0"/>
        </a:p>
      </xdr:txBody>
    </xdr:sp>
    <xdr:clientData/>
  </xdr:twoCellAnchor>
  <xdr:twoCellAnchor>
    <xdr:from>
      <xdr:col>1</xdr:col>
      <xdr:colOff>2755446</xdr:colOff>
      <xdr:row>15</xdr:row>
      <xdr:rowOff>61173</xdr:rowOff>
    </xdr:from>
    <xdr:to>
      <xdr:col>4</xdr:col>
      <xdr:colOff>401744</xdr:colOff>
      <xdr:row>15</xdr:row>
      <xdr:rowOff>68036</xdr:rowOff>
    </xdr:to>
    <xdr:cxnSp macro="">
      <xdr:nvCxnSpPr>
        <xdr:cNvPr id="39" name="Straight Connector 38">
          <a:extLst>
            <a:ext uri="{FF2B5EF4-FFF2-40B4-BE49-F238E27FC236}">
              <a16:creationId xmlns:a16="http://schemas.microsoft.com/office/drawing/2014/main" id="{E6F0DFE1-A896-4FDB-9C4F-33DD3E7D8EF8}"/>
            </a:ext>
          </a:extLst>
        </xdr:cNvPr>
        <xdr:cNvCxnSpPr/>
      </xdr:nvCxnSpPr>
      <xdr:spPr>
        <a:xfrm flipV="1">
          <a:off x="2948214" y="3270191"/>
          <a:ext cx="2159334" cy="6863"/>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523465</xdr:colOff>
      <xdr:row>15</xdr:row>
      <xdr:rowOff>63077</xdr:rowOff>
    </xdr:from>
    <xdr:to>
      <xdr:col>8</xdr:col>
      <xdr:colOff>359410</xdr:colOff>
      <xdr:row>15</xdr:row>
      <xdr:rowOff>64483</xdr:rowOff>
    </xdr:to>
    <xdr:cxnSp macro="">
      <xdr:nvCxnSpPr>
        <xdr:cNvPr id="40" name="Straight Connector 39">
          <a:extLst>
            <a:ext uri="{FF2B5EF4-FFF2-40B4-BE49-F238E27FC236}">
              <a16:creationId xmlns:a16="http://schemas.microsoft.com/office/drawing/2014/main" id="{703F9EF8-5DC8-493F-A2B2-63A7F1AEE947}"/>
            </a:ext>
          </a:extLst>
        </xdr:cNvPr>
        <xdr:cNvCxnSpPr/>
      </xdr:nvCxnSpPr>
      <xdr:spPr>
        <a:xfrm flipV="1">
          <a:off x="4914490" y="3349202"/>
          <a:ext cx="1664745" cy="1406"/>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91666</xdr:colOff>
      <xdr:row>26</xdr:row>
      <xdr:rowOff>181609</xdr:rowOff>
    </xdr:from>
    <xdr:to>
      <xdr:col>1</xdr:col>
      <xdr:colOff>1760221</xdr:colOff>
      <xdr:row>26</xdr:row>
      <xdr:rowOff>183015</xdr:rowOff>
    </xdr:to>
    <xdr:cxnSp macro="">
      <xdr:nvCxnSpPr>
        <xdr:cNvPr id="41" name="Straight Connector 40">
          <a:extLst>
            <a:ext uri="{FF2B5EF4-FFF2-40B4-BE49-F238E27FC236}">
              <a16:creationId xmlns:a16="http://schemas.microsoft.com/office/drawing/2014/main" id="{6DC919CE-2B01-4328-B9AF-157CB9E1B3A2}"/>
            </a:ext>
          </a:extLst>
        </xdr:cNvPr>
        <xdr:cNvCxnSpPr/>
      </xdr:nvCxnSpPr>
      <xdr:spPr>
        <a:xfrm flipV="1">
          <a:off x="215491" y="5563234"/>
          <a:ext cx="1668555" cy="1406"/>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2687411</xdr:colOff>
      <xdr:row>26</xdr:row>
      <xdr:rowOff>190076</xdr:rowOff>
    </xdr:from>
    <xdr:to>
      <xdr:col>4</xdr:col>
      <xdr:colOff>415080</xdr:colOff>
      <xdr:row>27</xdr:row>
      <xdr:rowOff>11339</xdr:rowOff>
    </xdr:to>
    <xdr:cxnSp macro="">
      <xdr:nvCxnSpPr>
        <xdr:cNvPr id="42" name="Straight Connector 41">
          <a:extLst>
            <a:ext uri="{FF2B5EF4-FFF2-40B4-BE49-F238E27FC236}">
              <a16:creationId xmlns:a16="http://schemas.microsoft.com/office/drawing/2014/main" id="{A0E8B039-2C0E-41D1-8228-C3DFC46D1BA7}"/>
            </a:ext>
          </a:extLst>
        </xdr:cNvPr>
        <xdr:cNvCxnSpPr/>
      </xdr:nvCxnSpPr>
      <xdr:spPr>
        <a:xfrm flipV="1">
          <a:off x="2880179" y="5519540"/>
          <a:ext cx="2240705" cy="1403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499971</xdr:colOff>
      <xdr:row>26</xdr:row>
      <xdr:rowOff>154304</xdr:rowOff>
    </xdr:from>
    <xdr:to>
      <xdr:col>8</xdr:col>
      <xdr:colOff>351156</xdr:colOff>
      <xdr:row>26</xdr:row>
      <xdr:rowOff>154304</xdr:rowOff>
    </xdr:to>
    <xdr:cxnSp macro="">
      <xdr:nvCxnSpPr>
        <xdr:cNvPr id="43" name="Straight Connector 42">
          <a:extLst>
            <a:ext uri="{FF2B5EF4-FFF2-40B4-BE49-F238E27FC236}">
              <a16:creationId xmlns:a16="http://schemas.microsoft.com/office/drawing/2014/main" id="{9C711A49-1CC3-493C-98DD-AA046BEF641C}"/>
            </a:ext>
          </a:extLst>
        </xdr:cNvPr>
        <xdr:cNvCxnSpPr/>
      </xdr:nvCxnSpPr>
      <xdr:spPr>
        <a:xfrm flipV="1">
          <a:off x="4890996" y="5535929"/>
          <a:ext cx="1679985"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61837</xdr:colOff>
      <xdr:row>63</xdr:row>
      <xdr:rowOff>97820</xdr:rowOff>
    </xdr:from>
    <xdr:to>
      <xdr:col>9</xdr:col>
      <xdr:colOff>60990</xdr:colOff>
      <xdr:row>65</xdr:row>
      <xdr:rowOff>33306</xdr:rowOff>
    </xdr:to>
    <xdr:sp macro="" textlink="">
      <xdr:nvSpPr>
        <xdr:cNvPr id="44" name="TextBox 43">
          <a:extLst>
            <a:ext uri="{FF2B5EF4-FFF2-40B4-BE49-F238E27FC236}">
              <a16:creationId xmlns:a16="http://schemas.microsoft.com/office/drawing/2014/main" id="{D40BCC90-09D2-49AC-A503-DD369F15677D}"/>
            </a:ext>
          </a:extLst>
        </xdr:cNvPr>
        <xdr:cNvSpPr txBox="1"/>
      </xdr:nvSpPr>
      <xdr:spPr>
        <a:xfrm>
          <a:off x="61837" y="11099195"/>
          <a:ext cx="6828578" cy="316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 typeface="Arial" panose="020B0604020202020204" pitchFamily="34" charset="0"/>
            <a:buNone/>
            <a:tabLst/>
            <a:defRPr/>
          </a:pPr>
          <a:r>
            <a:rPr lang="en-IN" sz="1800" b="1" i="0">
              <a:solidFill>
                <a:srgbClr val="028655"/>
              </a:solidFill>
              <a:effectLst/>
              <a:latin typeface="+mn-lt"/>
              <a:ea typeface="+mn-ea"/>
              <a:cs typeface="+mn-cs"/>
            </a:rPr>
            <a:t>Dupont Analysis - Return on Equity &amp; Return</a:t>
          </a:r>
          <a:r>
            <a:rPr lang="en-IN" sz="1800" b="1" i="0" baseline="0">
              <a:solidFill>
                <a:srgbClr val="028655"/>
              </a:solidFill>
              <a:effectLst/>
              <a:latin typeface="+mn-lt"/>
              <a:ea typeface="+mn-ea"/>
              <a:cs typeface="+mn-cs"/>
            </a:rPr>
            <a:t> on Asset</a:t>
          </a:r>
          <a:endParaRPr lang="en-IN" sz="1800" b="1" i="0">
            <a:solidFill>
              <a:srgbClr val="028655"/>
            </a:solidFill>
            <a:effectLst/>
            <a:latin typeface="+mn-lt"/>
            <a:ea typeface="+mn-ea"/>
            <a:cs typeface="+mn-cs"/>
          </a:endParaRPr>
        </a:p>
      </xdr:txBody>
    </xdr:sp>
    <xdr:clientData/>
  </xdr:twoCellAnchor>
  <xdr:twoCellAnchor>
    <xdr:from>
      <xdr:col>0</xdr:col>
      <xdr:colOff>73662</xdr:colOff>
      <xdr:row>105</xdr:row>
      <xdr:rowOff>103534</xdr:rowOff>
    </xdr:from>
    <xdr:to>
      <xdr:col>9</xdr:col>
      <xdr:colOff>76625</xdr:colOff>
      <xdr:row>116</xdr:row>
      <xdr:rowOff>17123</xdr:rowOff>
    </xdr:to>
    <xdr:sp macro="" textlink="">
      <xdr:nvSpPr>
        <xdr:cNvPr id="45" name="TextBox 44">
          <a:extLst>
            <a:ext uri="{FF2B5EF4-FFF2-40B4-BE49-F238E27FC236}">
              <a16:creationId xmlns:a16="http://schemas.microsoft.com/office/drawing/2014/main" id="{D031438D-A2D8-455F-8597-9E2EBF56B2F6}"/>
            </a:ext>
          </a:extLst>
        </xdr:cNvPr>
        <xdr:cNvSpPr txBox="1"/>
      </xdr:nvSpPr>
      <xdr:spPr>
        <a:xfrm>
          <a:off x="73662" y="19144009"/>
          <a:ext cx="6832388" cy="2009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 typeface="Arial" panose="020B0604020202020204" pitchFamily="34" charset="0"/>
            <a:buNone/>
            <a:tabLst/>
            <a:defRPr/>
          </a:pPr>
          <a:r>
            <a:rPr lang="en-IN" sz="1400" b="1" i="0">
              <a:solidFill>
                <a:srgbClr val="028655"/>
              </a:solidFill>
              <a:effectLst/>
              <a:latin typeface="+mn-lt"/>
              <a:ea typeface="+mn-ea"/>
              <a:cs typeface="+mn-cs"/>
            </a:rPr>
            <a:t>Dupont Summary</a:t>
          </a: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dk1"/>
              </a:solidFill>
              <a:effectLst/>
              <a:latin typeface="+mn-lt"/>
              <a:ea typeface="+mn-ea"/>
              <a:cs typeface="+mn-cs"/>
            </a:rPr>
            <a:t>ROE of Avenue Supermart has been decreased to</a:t>
          </a:r>
          <a:r>
            <a:rPr lang="en-IN" sz="1200" b="0" i="0" baseline="0">
              <a:solidFill>
                <a:schemeClr val="dk1"/>
              </a:solidFill>
              <a:effectLst/>
              <a:latin typeface="+mn-lt"/>
              <a:ea typeface="+mn-ea"/>
              <a:cs typeface="+mn-cs"/>
            </a:rPr>
            <a:t> 11.69% during COVID and made a low of 6.40%% in FY2021 which now has rose to precovid levels and currently at 9.21% as of 31 March 2025.</a:t>
          </a: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baseline="0">
              <a:solidFill>
                <a:schemeClr val="dk1"/>
              </a:solidFill>
              <a:effectLst/>
              <a:latin typeface="+mn-lt"/>
              <a:ea typeface="+mn-ea"/>
              <a:cs typeface="+mn-cs"/>
            </a:rPr>
            <a:t>ROE has been decreased significantly in past 7 years from 12% to 9.2%. While the company was able to maintain the net margins from 4.51% in FY2019 to 4.56% in FY25. Asset efficiency of the company has been decreased throughout the period, the reason for fall in ROE is reduction of financial leverage in the company from 0.84x in FY2019 to 0.77x in FY2025.</a:t>
          </a: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dk1"/>
              </a:solidFill>
              <a:effectLst/>
              <a:latin typeface="+mn-lt"/>
              <a:ea typeface="+mn-ea"/>
              <a:cs typeface="+mn-cs"/>
            </a:rPr>
            <a:t>ROA of Avenue Supermart has been decreased from 14.27% in FY2019 to 11.91% in FY2025. </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hrome%20Downloads/Dupont%20Analysis%20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CF&gt;"/>
      <sheetName val="WACC"/>
      <sheetName val="Data&gt;"/>
      <sheetName val="Beta - Regression"/>
      <sheetName val="Beta - Comps"/>
      <sheetName val="Rm"/>
      <sheetName val="Intrisic Growth"/>
      <sheetName val="DCF"/>
      <sheetName val="Comps_Val"/>
      <sheetName val="Football Field"/>
      <sheetName val="Relative Data"/>
      <sheetName val="HistoricalFS"/>
      <sheetName val="Dupont Analysis"/>
      <sheetName val="Data Room&gt;"/>
      <sheetName val="List of Stocks"/>
      <sheetName val="Data Sheet"/>
      <sheetName val="Raw F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67">
          <cell r="F67">
            <v>43921</v>
          </cell>
          <cell r="G67">
            <v>44286</v>
          </cell>
          <cell r="H67">
            <v>44651</v>
          </cell>
          <cell r="I67">
            <v>45016</v>
          </cell>
        </row>
        <row r="68">
          <cell r="F68">
            <v>1301.08</v>
          </cell>
          <cell r="G68">
            <v>1099.49</v>
          </cell>
          <cell r="H68">
            <v>1492.55</v>
          </cell>
          <cell r="I68">
            <v>2378.5100000000002</v>
          </cell>
        </row>
        <row r="69">
          <cell r="F69">
            <v>24870.2</v>
          </cell>
          <cell r="G69">
            <v>24143.06</v>
          </cell>
          <cell r="H69">
            <v>30976.27</v>
          </cell>
          <cell r="I69">
            <v>42839.56</v>
          </cell>
        </row>
        <row r="73">
          <cell r="F73">
            <v>9540.83</v>
          </cell>
          <cell r="G73">
            <v>12865.605</v>
          </cell>
          <cell r="H73">
            <v>14563.014999999999</v>
          </cell>
          <cell r="I73">
            <v>16788.635000000002</v>
          </cell>
        </row>
        <row r="78">
          <cell r="F78">
            <v>1.1448636512813499</v>
          </cell>
          <cell r="G78">
            <v>1.1060788490099276</v>
          </cell>
          <cell r="H78">
            <v>1.1262378027442494</v>
          </cell>
          <cell r="I78">
            <v>1.128407257075299</v>
          </cell>
        </row>
        <row r="80">
          <cell r="F80">
            <v>0.15612469768449272</v>
          </cell>
          <cell r="G80">
            <v>9.4525102682534196E-2</v>
          </cell>
          <cell r="H80">
            <v>0.11542707553936662</v>
          </cell>
          <cell r="I80">
            <v>0.15986576306091407</v>
          </cell>
        </row>
        <row r="83">
          <cell r="F83">
            <v>43921</v>
          </cell>
          <cell r="G83">
            <v>44286</v>
          </cell>
          <cell r="H83">
            <v>44651</v>
          </cell>
          <cell r="I83">
            <v>45016</v>
          </cell>
        </row>
        <row r="86">
          <cell r="F86">
            <v>0.13636968691403159</v>
          </cell>
          <cell r="G86">
            <v>8.5459642201046904E-2</v>
          </cell>
          <cell r="H86">
            <v>0.10248907935616354</v>
          </cell>
          <cell r="I86">
            <v>0.14167381684097605</v>
          </cell>
        </row>
      </sheetData>
      <sheetData sheetId="13"/>
      <sheetData sheetId="14"/>
      <sheetData sheetId="15">
        <row r="1">
          <cell r="B1" t="str">
            <v>AVENUE SUPERMARTS LTD</v>
          </cell>
        </row>
      </sheetData>
      <sheetData sheetId="16"/>
    </sheetDataSet>
  </externalBook>
</externalLink>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creener.in/exce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3"/>
  <sheetViews>
    <sheetView zoomScale="66" zoomScaleNormal="66" zoomScalePageLayoutView="120" workbookViewId="0">
      <pane xSplit="1" ySplit="1" topLeftCell="B41" activePane="bottomRight" state="frozen"/>
      <selection activeCell="C4" sqref="C4"/>
      <selection pane="topRight" activeCell="C4" sqref="C4"/>
      <selection pane="bottomLeft" activeCell="C4" sqref="C4"/>
      <selection pane="bottomRight" activeCell="B67" sqref="B67:B69"/>
    </sheetView>
  </sheetViews>
  <sheetFormatPr defaultColWidth="8.85546875" defaultRowHeight="15" x14ac:dyDescent="0.25"/>
  <cols>
    <col min="1" max="1" width="27.7109375" style="2" bestFit="1" customWidth="1"/>
    <col min="2" max="11" width="13.42578125" style="2" bestFit="1" customWidth="1"/>
    <col min="12" max="16384" width="8.85546875" style="2"/>
  </cols>
  <sheetData>
    <row r="1" spans="1:11" s="1" customFormat="1" x14ac:dyDescent="0.25">
      <c r="A1" s="1" t="s">
        <v>0</v>
      </c>
      <c r="B1" s="1" t="s">
        <v>33</v>
      </c>
      <c r="E1" s="34" t="str">
        <f>IF(B2&lt;&gt;B3, "A NEW VERSION OF THE WORKSHEET IS AVAILABLE", "")</f>
        <v/>
      </c>
      <c r="F1" s="34"/>
      <c r="G1" s="34"/>
      <c r="H1" s="34"/>
      <c r="I1" s="34"/>
      <c r="J1" s="34"/>
      <c r="K1" s="34"/>
    </row>
    <row r="2" spans="1:11" x14ac:dyDescent="0.25">
      <c r="A2" s="1" t="s">
        <v>31</v>
      </c>
      <c r="B2" s="2">
        <v>2.1</v>
      </c>
      <c r="E2" s="35" t="s">
        <v>22</v>
      </c>
      <c r="F2" s="35"/>
      <c r="G2" s="35"/>
      <c r="H2" s="35"/>
      <c r="I2" s="35"/>
      <c r="J2" s="35"/>
      <c r="K2" s="35"/>
    </row>
    <row r="3" spans="1:11" x14ac:dyDescent="0.25">
      <c r="A3" s="1" t="s">
        <v>32</v>
      </c>
      <c r="B3" s="2">
        <v>2.1</v>
      </c>
    </row>
    <row r="4" spans="1:11" x14ac:dyDescent="0.25">
      <c r="A4" s="1"/>
    </row>
    <row r="5" spans="1:11" x14ac:dyDescent="0.25">
      <c r="A5" s="1" t="s">
        <v>34</v>
      </c>
    </row>
    <row r="6" spans="1:11" x14ac:dyDescent="0.25">
      <c r="A6" s="2" t="s">
        <v>28</v>
      </c>
      <c r="B6" s="2">
        <f>IF(B9&gt;0, B9/B8, 0)</f>
        <v>65.111799281842508</v>
      </c>
    </row>
    <row r="7" spans="1:11" x14ac:dyDescent="0.25">
      <c r="A7" s="2" t="s">
        <v>17</v>
      </c>
      <c r="B7">
        <v>10</v>
      </c>
    </row>
    <row r="8" spans="1:11" x14ac:dyDescent="0.25">
      <c r="A8" s="2" t="s">
        <v>29</v>
      </c>
      <c r="B8">
        <v>4372.3</v>
      </c>
    </row>
    <row r="9" spans="1:11" x14ac:dyDescent="0.25">
      <c r="A9" s="2" t="s">
        <v>44</v>
      </c>
      <c r="B9">
        <v>284688.32</v>
      </c>
    </row>
    <row r="15" spans="1:11" x14ac:dyDescent="0.25">
      <c r="A15" s="1" t="s">
        <v>23</v>
      </c>
    </row>
    <row r="16" spans="1:11" s="6" customFormat="1" x14ac:dyDescent="0.25">
      <c r="A16" s="5" t="s">
        <v>24</v>
      </c>
      <c r="B16" s="4">
        <v>42460</v>
      </c>
      <c r="C16" s="4">
        <v>42825</v>
      </c>
      <c r="D16" s="4">
        <v>43190</v>
      </c>
      <c r="E16" s="4">
        <v>43555</v>
      </c>
      <c r="F16" s="4">
        <v>43921</v>
      </c>
      <c r="G16" s="4">
        <v>44286</v>
      </c>
      <c r="H16" s="4">
        <v>44651</v>
      </c>
      <c r="I16" s="4">
        <v>45016</v>
      </c>
      <c r="J16" s="4">
        <v>45382</v>
      </c>
      <c r="K16" s="4">
        <v>45747</v>
      </c>
    </row>
    <row r="17" spans="1:11" s="3" customFormat="1" x14ac:dyDescent="0.25">
      <c r="A17" s="3" t="s">
        <v>1</v>
      </c>
      <c r="B17">
        <v>8583.76</v>
      </c>
      <c r="C17">
        <v>11897.7</v>
      </c>
      <c r="D17">
        <v>15033.2</v>
      </c>
      <c r="E17">
        <v>20004.52</v>
      </c>
      <c r="F17">
        <v>24870.2</v>
      </c>
      <c r="G17">
        <v>24143.06</v>
      </c>
      <c r="H17">
        <v>30976.27</v>
      </c>
      <c r="I17">
        <v>42839.56</v>
      </c>
      <c r="J17">
        <v>50788.83</v>
      </c>
      <c r="K17">
        <v>59358.05</v>
      </c>
    </row>
    <row r="18" spans="1:11" s="3" customFormat="1" x14ac:dyDescent="0.25">
      <c r="A18" s="2" t="s">
        <v>45</v>
      </c>
      <c r="B18">
        <v>7435.62</v>
      </c>
      <c r="C18">
        <v>10357.25</v>
      </c>
      <c r="D18">
        <v>12846.95</v>
      </c>
      <c r="E18">
        <v>17445.490000000002</v>
      </c>
      <c r="F18">
        <v>21441.68</v>
      </c>
      <c r="G18">
        <v>20855.560000000001</v>
      </c>
      <c r="H18">
        <v>26891.77</v>
      </c>
      <c r="I18">
        <v>36884.769999999997</v>
      </c>
      <c r="J18">
        <v>43958.31</v>
      </c>
      <c r="K18">
        <v>51668.76</v>
      </c>
    </row>
    <row r="19" spans="1:11" s="3" customFormat="1" x14ac:dyDescent="0.25">
      <c r="A19" s="2" t="s">
        <v>46</v>
      </c>
      <c r="B19">
        <v>132.08000000000001</v>
      </c>
      <c r="C19">
        <v>276.22000000000003</v>
      </c>
      <c r="D19">
        <v>211.31</v>
      </c>
      <c r="E19">
        <v>444.65</v>
      </c>
      <c r="F19">
        <v>338.75</v>
      </c>
      <c r="G19">
        <v>300.88</v>
      </c>
      <c r="H19">
        <v>494.38</v>
      </c>
      <c r="I19">
        <v>500.82</v>
      </c>
      <c r="J19">
        <v>683.77</v>
      </c>
      <c r="K19">
        <v>1117.06</v>
      </c>
    </row>
    <row r="20" spans="1:11" s="3" customFormat="1" x14ac:dyDescent="0.25">
      <c r="A20" s="2" t="s">
        <v>47</v>
      </c>
      <c r="B20">
        <v>79.239999999999995</v>
      </c>
      <c r="C20">
        <v>99.41</v>
      </c>
      <c r="D20">
        <v>121.26</v>
      </c>
      <c r="E20">
        <v>152.80000000000001</v>
      </c>
      <c r="F20">
        <v>188.24</v>
      </c>
      <c r="G20">
        <v>174.2</v>
      </c>
      <c r="H20">
        <v>207.86</v>
      </c>
      <c r="I20">
        <v>314.62</v>
      </c>
      <c r="J20">
        <v>376.59</v>
      </c>
    </row>
    <row r="21" spans="1:11" s="3" customFormat="1" x14ac:dyDescent="0.25">
      <c r="A21" s="2" t="s">
        <v>48</v>
      </c>
      <c r="B21">
        <v>241.36</v>
      </c>
      <c r="C21">
        <v>332.9</v>
      </c>
      <c r="D21">
        <v>373.72</v>
      </c>
      <c r="E21">
        <v>499.72</v>
      </c>
      <c r="F21">
        <v>645.96</v>
      </c>
      <c r="G21">
        <v>746.43</v>
      </c>
      <c r="H21">
        <v>805.85</v>
      </c>
      <c r="I21">
        <v>1116.56</v>
      </c>
      <c r="J21">
        <v>1323.43</v>
      </c>
    </row>
    <row r="22" spans="1:11" s="3" customFormat="1" x14ac:dyDescent="0.25">
      <c r="A22" s="2" t="s">
        <v>49</v>
      </c>
      <c r="B22">
        <v>149.04</v>
      </c>
      <c r="C22">
        <v>192.67</v>
      </c>
      <c r="D22">
        <v>283.14</v>
      </c>
      <c r="E22">
        <v>356.17</v>
      </c>
      <c r="F22">
        <v>457.14</v>
      </c>
      <c r="G22">
        <v>537.58000000000004</v>
      </c>
      <c r="H22">
        <v>617.36</v>
      </c>
      <c r="I22">
        <v>748.16</v>
      </c>
      <c r="J22">
        <v>907.82</v>
      </c>
      <c r="K22">
        <v>1165.9000000000001</v>
      </c>
    </row>
    <row r="23" spans="1:11" s="3" customFormat="1" x14ac:dyDescent="0.25">
      <c r="A23" s="2" t="s">
        <v>50</v>
      </c>
      <c r="B23">
        <v>647.37</v>
      </c>
      <c r="C23">
        <v>71.239999999999995</v>
      </c>
      <c r="D23">
        <v>96</v>
      </c>
      <c r="E23">
        <v>135.84</v>
      </c>
      <c r="F23">
        <v>119.23</v>
      </c>
      <c r="G23">
        <v>108.69</v>
      </c>
      <c r="H23">
        <v>143.41</v>
      </c>
      <c r="I23">
        <v>212.04</v>
      </c>
      <c r="J23">
        <v>274.43</v>
      </c>
    </row>
    <row r="24" spans="1:11" s="3" customFormat="1" x14ac:dyDescent="0.25">
      <c r="A24" s="2" t="s">
        <v>51</v>
      </c>
      <c r="B24">
        <v>-501.25</v>
      </c>
      <c r="C24">
        <v>151.27000000000001</v>
      </c>
      <c r="D24">
        <v>170.58</v>
      </c>
      <c r="E24">
        <v>225.84</v>
      </c>
      <c r="F24">
        <v>228.39</v>
      </c>
      <c r="G24">
        <v>276.64999999999998</v>
      </c>
      <c r="H24">
        <v>302.05</v>
      </c>
      <c r="I24">
        <v>425.46</v>
      </c>
      <c r="J24">
        <v>526.38</v>
      </c>
      <c r="K24">
        <v>3153.12</v>
      </c>
    </row>
    <row r="25" spans="1:11" s="3" customFormat="1" x14ac:dyDescent="0.25">
      <c r="A25" s="3" t="s">
        <v>4</v>
      </c>
      <c r="B25">
        <v>17.02</v>
      </c>
      <c r="C25">
        <v>27.7</v>
      </c>
      <c r="D25">
        <v>87.75</v>
      </c>
      <c r="E25">
        <v>48.33</v>
      </c>
      <c r="F25">
        <v>59.99</v>
      </c>
      <c r="G25">
        <v>194.43</v>
      </c>
      <c r="H25">
        <v>113.64</v>
      </c>
      <c r="I25">
        <v>127.6</v>
      </c>
      <c r="J25">
        <v>144.58000000000001</v>
      </c>
      <c r="K25">
        <v>124.31</v>
      </c>
    </row>
    <row r="26" spans="1:11" s="3" customFormat="1" x14ac:dyDescent="0.25">
      <c r="A26" s="3" t="s">
        <v>5</v>
      </c>
      <c r="B26">
        <v>98.43</v>
      </c>
      <c r="C26">
        <v>127.82</v>
      </c>
      <c r="D26">
        <v>159</v>
      </c>
      <c r="E26">
        <v>212.49</v>
      </c>
      <c r="F26">
        <v>374.41</v>
      </c>
      <c r="G26">
        <v>414.16</v>
      </c>
      <c r="H26">
        <v>498.08</v>
      </c>
      <c r="I26">
        <v>638.87</v>
      </c>
      <c r="J26">
        <v>730.76</v>
      </c>
      <c r="K26">
        <v>869.52</v>
      </c>
    </row>
    <row r="27" spans="1:11" s="3" customFormat="1" x14ac:dyDescent="0.25">
      <c r="A27" s="3" t="s">
        <v>6</v>
      </c>
      <c r="B27">
        <v>91.34</v>
      </c>
      <c r="C27">
        <v>121.98</v>
      </c>
      <c r="D27">
        <v>59.54</v>
      </c>
      <c r="E27">
        <v>47.21</v>
      </c>
      <c r="F27">
        <v>69.12</v>
      </c>
      <c r="G27">
        <v>41.65</v>
      </c>
      <c r="H27">
        <v>53.79</v>
      </c>
      <c r="I27">
        <v>67.41</v>
      </c>
      <c r="J27">
        <v>58.13</v>
      </c>
      <c r="K27">
        <v>69.45</v>
      </c>
    </row>
    <row r="28" spans="1:11" s="3" customFormat="1" x14ac:dyDescent="0.25">
      <c r="A28" s="3" t="s">
        <v>7</v>
      </c>
      <c r="B28">
        <v>491.71</v>
      </c>
      <c r="C28">
        <v>747.08</v>
      </c>
      <c r="D28">
        <v>1222.07</v>
      </c>
      <c r="E28">
        <v>1421.94</v>
      </c>
      <c r="F28">
        <v>1744.77</v>
      </c>
      <c r="G28">
        <v>1483.45</v>
      </c>
      <c r="H28">
        <v>2064.12</v>
      </c>
      <c r="I28">
        <v>3060.09</v>
      </c>
      <c r="J28">
        <v>3461.33</v>
      </c>
      <c r="K28">
        <v>3672.67</v>
      </c>
    </row>
    <row r="29" spans="1:11" s="3" customFormat="1" x14ac:dyDescent="0.25">
      <c r="A29" s="3" t="s">
        <v>8</v>
      </c>
      <c r="B29">
        <v>171.47</v>
      </c>
      <c r="C29">
        <v>268.27999999999997</v>
      </c>
      <c r="D29">
        <v>415.79</v>
      </c>
      <c r="E29">
        <v>519.48</v>
      </c>
      <c r="F29">
        <v>443.79</v>
      </c>
      <c r="G29">
        <v>384.02</v>
      </c>
      <c r="H29">
        <v>571.72</v>
      </c>
      <c r="I29">
        <v>681.75</v>
      </c>
      <c r="J29">
        <v>925.72</v>
      </c>
      <c r="K29">
        <v>965.22</v>
      </c>
    </row>
    <row r="30" spans="1:11" s="3" customFormat="1" x14ac:dyDescent="0.25">
      <c r="A30" s="3" t="s">
        <v>9</v>
      </c>
      <c r="B30">
        <v>320.24</v>
      </c>
      <c r="C30">
        <v>478.75</v>
      </c>
      <c r="D30">
        <v>806.26</v>
      </c>
      <c r="E30">
        <v>902.54</v>
      </c>
      <c r="F30">
        <v>1301.08</v>
      </c>
      <c r="G30">
        <v>1099.49</v>
      </c>
      <c r="H30">
        <v>1492.55</v>
      </c>
      <c r="I30">
        <v>2378.5100000000002</v>
      </c>
      <c r="J30">
        <v>2536.17</v>
      </c>
      <c r="K30">
        <v>2708.02</v>
      </c>
    </row>
    <row r="31" spans="1:11" s="3" customFormat="1" x14ac:dyDescent="0.25">
      <c r="A31" s="3" t="s">
        <v>35</v>
      </c>
      <c r="B31"/>
      <c r="C31"/>
      <c r="D31"/>
      <c r="E31"/>
      <c r="F31"/>
      <c r="G31"/>
      <c r="H31"/>
      <c r="I31"/>
      <c r="J31"/>
      <c r="K31"/>
    </row>
    <row r="32" spans="1:11" s="3" customFormat="1" x14ac:dyDescent="0.25"/>
    <row r="33" spans="1:11" x14ac:dyDescent="0.25">
      <c r="A33" s="3"/>
    </row>
    <row r="34" spans="1:11" x14ac:dyDescent="0.25">
      <c r="A34" s="3"/>
    </row>
    <row r="35" spans="1:11" x14ac:dyDescent="0.25">
      <c r="A35" s="3"/>
    </row>
    <row r="36" spans="1:11" x14ac:dyDescent="0.25">
      <c r="A36" s="3"/>
    </row>
    <row r="37" spans="1:11" x14ac:dyDescent="0.25">
      <c r="A37" s="3"/>
    </row>
    <row r="38" spans="1:11" x14ac:dyDescent="0.25">
      <c r="A38" s="3"/>
    </row>
    <row r="39" spans="1:11" x14ac:dyDescent="0.25">
      <c r="A39" s="3"/>
    </row>
    <row r="40" spans="1:11" x14ac:dyDescent="0.25">
      <c r="A40" s="1" t="s">
        <v>25</v>
      </c>
    </row>
    <row r="41" spans="1:11" s="6" customFormat="1" x14ac:dyDescent="0.25">
      <c r="A41" s="5" t="s">
        <v>24</v>
      </c>
      <c r="B41" s="4">
        <v>44926</v>
      </c>
      <c r="C41" s="4">
        <v>45016</v>
      </c>
      <c r="D41" s="4">
        <v>45107</v>
      </c>
      <c r="E41" s="4">
        <v>45199</v>
      </c>
      <c r="F41" s="4">
        <v>45291</v>
      </c>
      <c r="G41" s="4">
        <v>45382</v>
      </c>
      <c r="H41" s="4">
        <v>45473</v>
      </c>
      <c r="I41" s="4">
        <v>45565</v>
      </c>
      <c r="J41" s="4">
        <v>45657</v>
      </c>
      <c r="K41" s="4">
        <v>45747</v>
      </c>
    </row>
    <row r="42" spans="1:11" s="3" customFormat="1" x14ac:dyDescent="0.25">
      <c r="A42" s="3" t="s">
        <v>1</v>
      </c>
      <c r="B42">
        <v>11569.05</v>
      </c>
      <c r="C42">
        <v>10594.11</v>
      </c>
      <c r="D42">
        <v>11865.44</v>
      </c>
      <c r="E42">
        <v>12624.37</v>
      </c>
      <c r="F42">
        <v>13572.47</v>
      </c>
      <c r="G42">
        <v>12726.55</v>
      </c>
      <c r="H42">
        <v>14069.14</v>
      </c>
      <c r="I42">
        <v>14444.5</v>
      </c>
      <c r="J42">
        <v>15972.55</v>
      </c>
      <c r="K42">
        <v>14871.86</v>
      </c>
    </row>
    <row r="43" spans="1:11" s="3" customFormat="1" x14ac:dyDescent="0.25">
      <c r="A43" s="3" t="s">
        <v>2</v>
      </c>
      <c r="B43">
        <v>10603.79</v>
      </c>
      <c r="C43">
        <v>9822.6</v>
      </c>
      <c r="D43">
        <v>10830.17</v>
      </c>
      <c r="E43">
        <v>11619.4</v>
      </c>
      <c r="F43">
        <v>12452.58</v>
      </c>
      <c r="G43">
        <v>11782.91</v>
      </c>
      <c r="H43">
        <v>12847.89</v>
      </c>
      <c r="I43">
        <v>13350.73</v>
      </c>
      <c r="J43">
        <v>14755.31</v>
      </c>
      <c r="K43">
        <v>13916.79</v>
      </c>
    </row>
    <row r="44" spans="1:11" s="3" customFormat="1" x14ac:dyDescent="0.25">
      <c r="A44" s="3" t="s">
        <v>4</v>
      </c>
      <c r="B44">
        <v>31.56</v>
      </c>
      <c r="C44">
        <v>33.07</v>
      </c>
      <c r="D44">
        <v>38.74</v>
      </c>
      <c r="E44">
        <v>36.92</v>
      </c>
      <c r="F44">
        <v>32.92</v>
      </c>
      <c r="G44">
        <v>37.869999999999997</v>
      </c>
      <c r="H44">
        <v>41.6</v>
      </c>
      <c r="I44">
        <v>33.520000000000003</v>
      </c>
      <c r="J44">
        <v>24.14</v>
      </c>
      <c r="K44">
        <v>25.05</v>
      </c>
    </row>
    <row r="45" spans="1:11" s="3" customFormat="1" x14ac:dyDescent="0.25">
      <c r="A45" s="3" t="s">
        <v>5</v>
      </c>
      <c r="B45">
        <v>168.09</v>
      </c>
      <c r="C45">
        <v>164.08</v>
      </c>
      <c r="D45">
        <v>162.18</v>
      </c>
      <c r="E45">
        <v>174.36</v>
      </c>
      <c r="F45">
        <v>189.33</v>
      </c>
      <c r="G45">
        <v>204.89</v>
      </c>
      <c r="H45">
        <v>192.76</v>
      </c>
      <c r="I45">
        <v>207.78</v>
      </c>
      <c r="J45">
        <v>228.12</v>
      </c>
      <c r="K45">
        <v>240.86</v>
      </c>
    </row>
    <row r="46" spans="1:11" s="3" customFormat="1" x14ac:dyDescent="0.25">
      <c r="A46" s="3" t="s">
        <v>6</v>
      </c>
      <c r="B46">
        <v>16.98</v>
      </c>
      <c r="C46">
        <v>15.53</v>
      </c>
      <c r="D46">
        <v>14.57</v>
      </c>
      <c r="E46">
        <v>15.59</v>
      </c>
      <c r="F46">
        <v>14.55</v>
      </c>
      <c r="G46">
        <v>13.42</v>
      </c>
      <c r="H46">
        <v>15.96</v>
      </c>
      <c r="I46">
        <v>16.32</v>
      </c>
      <c r="J46">
        <v>18.21</v>
      </c>
      <c r="K46">
        <v>18.96</v>
      </c>
    </row>
    <row r="47" spans="1:11" s="3" customFormat="1" x14ac:dyDescent="0.25">
      <c r="A47" s="3" t="s">
        <v>7</v>
      </c>
      <c r="B47">
        <v>811.75</v>
      </c>
      <c r="C47">
        <v>624.97</v>
      </c>
      <c r="D47">
        <v>897.26</v>
      </c>
      <c r="E47">
        <v>851.94</v>
      </c>
      <c r="F47">
        <v>948.93</v>
      </c>
      <c r="G47">
        <v>763.2</v>
      </c>
      <c r="H47">
        <v>1054.1300000000001</v>
      </c>
      <c r="I47">
        <v>903.19</v>
      </c>
      <c r="J47">
        <v>995.05</v>
      </c>
      <c r="K47">
        <v>720.3</v>
      </c>
    </row>
    <row r="48" spans="1:11" s="3" customFormat="1" x14ac:dyDescent="0.25">
      <c r="A48" s="3" t="s">
        <v>8</v>
      </c>
      <c r="B48">
        <v>222.11</v>
      </c>
      <c r="C48">
        <v>164.87</v>
      </c>
      <c r="D48">
        <v>238.55</v>
      </c>
      <c r="E48">
        <v>228.59</v>
      </c>
      <c r="F48">
        <v>258.52</v>
      </c>
      <c r="G48">
        <v>200.06</v>
      </c>
      <c r="H48">
        <v>280.45</v>
      </c>
      <c r="I48">
        <v>243.75</v>
      </c>
      <c r="J48">
        <v>271.51</v>
      </c>
      <c r="K48">
        <v>169.51</v>
      </c>
    </row>
    <row r="49" spans="1:11" s="3" customFormat="1" x14ac:dyDescent="0.25">
      <c r="A49" s="3" t="s">
        <v>9</v>
      </c>
      <c r="B49">
        <v>589.67999999999995</v>
      </c>
      <c r="C49">
        <v>460.13</v>
      </c>
      <c r="D49">
        <v>658.75</v>
      </c>
      <c r="E49">
        <v>623.55999999999995</v>
      </c>
      <c r="F49">
        <v>690.61</v>
      </c>
      <c r="G49">
        <v>563.25</v>
      </c>
      <c r="H49">
        <v>773.82</v>
      </c>
      <c r="I49">
        <v>659.58</v>
      </c>
      <c r="J49">
        <v>723.72</v>
      </c>
      <c r="K49">
        <v>550.9</v>
      </c>
    </row>
    <row r="50" spans="1:11" x14ac:dyDescent="0.25">
      <c r="A50" s="3" t="s">
        <v>3</v>
      </c>
      <c r="B50">
        <v>965.26</v>
      </c>
      <c r="C50">
        <v>771.51</v>
      </c>
      <c r="D50">
        <v>1035.27</v>
      </c>
      <c r="E50">
        <v>1004.97</v>
      </c>
      <c r="F50">
        <v>1119.8900000000001</v>
      </c>
      <c r="G50">
        <v>943.64</v>
      </c>
      <c r="H50">
        <v>1221.25</v>
      </c>
      <c r="I50">
        <v>1093.77</v>
      </c>
      <c r="J50">
        <v>1217.24</v>
      </c>
      <c r="K50">
        <v>955.07</v>
      </c>
    </row>
    <row r="51" spans="1:11" x14ac:dyDescent="0.25">
      <c r="A51" s="3"/>
    </row>
    <row r="52" spans="1:11" x14ac:dyDescent="0.25">
      <c r="A52" s="3"/>
    </row>
    <row r="53" spans="1:11" x14ac:dyDescent="0.25">
      <c r="A53" s="3"/>
    </row>
    <row r="54" spans="1:11" x14ac:dyDescent="0.25">
      <c r="A54" s="3"/>
    </row>
    <row r="55" spans="1:11" x14ac:dyDescent="0.25">
      <c r="A55" s="1" t="s">
        <v>26</v>
      </c>
    </row>
    <row r="56" spans="1:11" s="6" customFormat="1" x14ac:dyDescent="0.25">
      <c r="A56" s="5" t="s">
        <v>24</v>
      </c>
      <c r="B56" s="4">
        <v>42460</v>
      </c>
      <c r="C56" s="4">
        <v>42825</v>
      </c>
      <c r="D56" s="4">
        <v>43190</v>
      </c>
      <c r="E56" s="4">
        <v>43555</v>
      </c>
      <c r="F56" s="4">
        <v>43921</v>
      </c>
      <c r="G56" s="4">
        <v>44286</v>
      </c>
      <c r="H56" s="4">
        <v>44651</v>
      </c>
      <c r="I56" s="4">
        <v>45016</v>
      </c>
      <c r="J56" s="4">
        <v>45382</v>
      </c>
      <c r="K56" s="4">
        <v>45747</v>
      </c>
    </row>
    <row r="57" spans="1:11" x14ac:dyDescent="0.25">
      <c r="A57" s="3" t="s">
        <v>11</v>
      </c>
      <c r="B57">
        <v>561.54</v>
      </c>
      <c r="C57">
        <v>624.08000000000004</v>
      </c>
      <c r="D57">
        <v>624.08000000000004</v>
      </c>
      <c r="E57">
        <v>624.08000000000004</v>
      </c>
      <c r="F57">
        <v>647.77</v>
      </c>
      <c r="G57">
        <v>647.77</v>
      </c>
      <c r="H57">
        <v>647.77</v>
      </c>
      <c r="I57">
        <v>648.26</v>
      </c>
      <c r="J57">
        <v>650.73</v>
      </c>
      <c r="K57">
        <v>650.73</v>
      </c>
    </row>
    <row r="58" spans="1:11" x14ac:dyDescent="0.25">
      <c r="A58" s="3" t="s">
        <v>12</v>
      </c>
      <c r="B58">
        <v>958.9</v>
      </c>
      <c r="C58">
        <v>3217.7</v>
      </c>
      <c r="D58">
        <v>4044.97</v>
      </c>
      <c r="E58">
        <v>4963.37</v>
      </c>
      <c r="F58">
        <v>10431.969999999999</v>
      </c>
      <c r="G58">
        <v>11535.94</v>
      </c>
      <c r="H58">
        <v>13029.87</v>
      </c>
      <c r="I58">
        <v>15430.44</v>
      </c>
      <c r="J58">
        <v>18047.09</v>
      </c>
      <c r="K58">
        <v>20777.02</v>
      </c>
    </row>
    <row r="59" spans="1:11" x14ac:dyDescent="0.25">
      <c r="A59" s="3" t="s">
        <v>36</v>
      </c>
      <c r="B59">
        <v>1192.3399999999999</v>
      </c>
      <c r="C59">
        <v>1497.32</v>
      </c>
      <c r="D59">
        <v>439.25</v>
      </c>
      <c r="E59">
        <v>700.15</v>
      </c>
      <c r="F59">
        <v>333.19</v>
      </c>
      <c r="G59">
        <v>392.71</v>
      </c>
      <c r="H59">
        <v>646.94000000000005</v>
      </c>
      <c r="I59">
        <v>642.98</v>
      </c>
      <c r="J59">
        <v>592.16</v>
      </c>
      <c r="K59">
        <v>819.62</v>
      </c>
    </row>
    <row r="60" spans="1:11" x14ac:dyDescent="0.25">
      <c r="A60" s="3" t="s">
        <v>37</v>
      </c>
      <c r="B60">
        <v>388.78</v>
      </c>
      <c r="C60">
        <v>480.18</v>
      </c>
      <c r="D60">
        <v>539.91999999999996</v>
      </c>
      <c r="E60">
        <v>717.9</v>
      </c>
      <c r="F60">
        <v>663.23</v>
      </c>
      <c r="G60">
        <v>1078.6300000000001</v>
      </c>
      <c r="H60">
        <v>1146.4000000000001</v>
      </c>
      <c r="I60">
        <v>1382.84</v>
      </c>
      <c r="J60">
        <v>1882.5</v>
      </c>
      <c r="K60">
        <v>2072.92</v>
      </c>
    </row>
    <row r="61" spans="1:11" s="1" customFormat="1" x14ac:dyDescent="0.25">
      <c r="A61" s="1" t="s">
        <v>13</v>
      </c>
      <c r="B61">
        <v>3101.56</v>
      </c>
      <c r="C61">
        <v>5819.28</v>
      </c>
      <c r="D61">
        <v>5648.22</v>
      </c>
      <c r="E61">
        <v>7005.5</v>
      </c>
      <c r="F61">
        <v>12076.16</v>
      </c>
      <c r="G61">
        <v>13655.05</v>
      </c>
      <c r="H61">
        <v>15470.98</v>
      </c>
      <c r="I61">
        <v>18104.52</v>
      </c>
      <c r="J61">
        <v>21172.48</v>
      </c>
      <c r="K61">
        <v>24320.29</v>
      </c>
    </row>
    <row r="62" spans="1:11" x14ac:dyDescent="0.25">
      <c r="A62" s="3" t="s">
        <v>14</v>
      </c>
      <c r="B62">
        <v>2093.52</v>
      </c>
      <c r="C62">
        <v>2577.75</v>
      </c>
      <c r="D62">
        <v>3399.97</v>
      </c>
      <c r="E62">
        <v>4400.37</v>
      </c>
      <c r="F62">
        <v>5948.03</v>
      </c>
      <c r="G62">
        <v>7008.8</v>
      </c>
      <c r="H62">
        <v>9260.02</v>
      </c>
      <c r="I62">
        <v>11340.48</v>
      </c>
      <c r="J62">
        <v>13415</v>
      </c>
      <c r="K62">
        <v>16206.46</v>
      </c>
    </row>
    <row r="63" spans="1:11" x14ac:dyDescent="0.25">
      <c r="A63" s="3" t="s">
        <v>15</v>
      </c>
      <c r="B63">
        <v>81.69</v>
      </c>
      <c r="C63">
        <v>152.88999999999999</v>
      </c>
      <c r="D63">
        <v>147.07</v>
      </c>
      <c r="E63">
        <v>376.84</v>
      </c>
      <c r="F63">
        <v>364.4</v>
      </c>
      <c r="G63">
        <v>1019.59</v>
      </c>
      <c r="H63">
        <v>1129.3399999999999</v>
      </c>
      <c r="I63">
        <v>829.16</v>
      </c>
      <c r="J63">
        <v>935.22</v>
      </c>
      <c r="K63">
        <v>1099.3499999999999</v>
      </c>
    </row>
    <row r="64" spans="1:11" x14ac:dyDescent="0.25">
      <c r="A64" s="3" t="s">
        <v>16</v>
      </c>
      <c r="B64">
        <v>29.33</v>
      </c>
      <c r="C64">
        <v>25.69</v>
      </c>
      <c r="D64">
        <v>68.180000000000007</v>
      </c>
      <c r="E64">
        <v>16.53</v>
      </c>
      <c r="F64">
        <v>14.68</v>
      </c>
      <c r="G64">
        <v>2.95</v>
      </c>
      <c r="H64">
        <v>5.94</v>
      </c>
      <c r="I64">
        <v>202.2</v>
      </c>
      <c r="J64">
        <v>106.67</v>
      </c>
      <c r="K64">
        <v>3.26</v>
      </c>
    </row>
    <row r="65" spans="1:11" x14ac:dyDescent="0.25">
      <c r="A65" s="3" t="s">
        <v>38</v>
      </c>
      <c r="B65">
        <v>897.02</v>
      </c>
      <c r="C65">
        <v>3062.95</v>
      </c>
      <c r="D65">
        <v>2033</v>
      </c>
      <c r="E65">
        <v>2211.7600000000002</v>
      </c>
      <c r="F65">
        <v>5749.05</v>
      </c>
      <c r="G65">
        <v>5623.71</v>
      </c>
      <c r="H65">
        <v>5075.68</v>
      </c>
      <c r="I65">
        <v>5732.68</v>
      </c>
      <c r="J65">
        <v>6715.59</v>
      </c>
      <c r="K65">
        <v>7011.22</v>
      </c>
    </row>
    <row r="66" spans="1:11" s="1" customFormat="1" x14ac:dyDescent="0.25">
      <c r="A66" s="1" t="s">
        <v>13</v>
      </c>
      <c r="B66">
        <v>3101.56</v>
      </c>
      <c r="C66">
        <v>5819.28</v>
      </c>
      <c r="D66">
        <v>5648.22</v>
      </c>
      <c r="E66">
        <v>7005.5</v>
      </c>
      <c r="F66">
        <v>12076.16</v>
      </c>
      <c r="G66">
        <v>13655.05</v>
      </c>
      <c r="H66">
        <v>15470.98</v>
      </c>
      <c r="I66">
        <v>18104.52</v>
      </c>
      <c r="J66">
        <v>21172.48</v>
      </c>
      <c r="K66">
        <v>24320.29</v>
      </c>
    </row>
    <row r="67" spans="1:11" s="3" customFormat="1" x14ac:dyDescent="0.25">
      <c r="A67" s="3" t="s">
        <v>43</v>
      </c>
      <c r="B67">
        <v>8.42</v>
      </c>
      <c r="C67">
        <v>21</v>
      </c>
      <c r="D67">
        <v>33.520000000000003</v>
      </c>
      <c r="E67">
        <v>64.37</v>
      </c>
      <c r="F67">
        <v>19.55</v>
      </c>
      <c r="G67">
        <v>43.58</v>
      </c>
      <c r="H67">
        <v>66.89</v>
      </c>
      <c r="I67">
        <v>62.16</v>
      </c>
      <c r="J67">
        <v>166.37</v>
      </c>
      <c r="K67">
        <v>153.79</v>
      </c>
    </row>
    <row r="68" spans="1:11" x14ac:dyDescent="0.25">
      <c r="A68" s="3" t="s">
        <v>30</v>
      </c>
      <c r="B68">
        <v>671.69</v>
      </c>
      <c r="C68">
        <v>947.9</v>
      </c>
      <c r="D68">
        <v>1163.45</v>
      </c>
      <c r="E68">
        <v>1608.65</v>
      </c>
      <c r="F68">
        <v>1947.4</v>
      </c>
      <c r="G68">
        <v>2248.2800000000002</v>
      </c>
      <c r="H68">
        <v>2742.66</v>
      </c>
      <c r="I68">
        <v>3243.48</v>
      </c>
      <c r="J68">
        <v>3927.31</v>
      </c>
      <c r="K68">
        <v>5044.37</v>
      </c>
    </row>
    <row r="69" spans="1:11" x14ac:dyDescent="0.25">
      <c r="A69" s="2" t="s">
        <v>52</v>
      </c>
      <c r="B69">
        <v>35.1</v>
      </c>
      <c r="C69">
        <v>1884.29</v>
      </c>
      <c r="D69">
        <v>560.17999999999995</v>
      </c>
      <c r="E69">
        <v>219.07</v>
      </c>
      <c r="F69">
        <v>107.88</v>
      </c>
      <c r="G69">
        <v>1445.58</v>
      </c>
      <c r="H69">
        <v>298.58</v>
      </c>
      <c r="I69">
        <v>1408.33</v>
      </c>
      <c r="J69">
        <v>638.17999999999995</v>
      </c>
      <c r="K69">
        <v>358.2</v>
      </c>
    </row>
    <row r="70" spans="1:11" x14ac:dyDescent="0.25">
      <c r="A70" s="2" t="s">
        <v>39</v>
      </c>
      <c r="B70">
        <v>561542680</v>
      </c>
      <c r="C70">
        <v>624084486</v>
      </c>
      <c r="D70">
        <v>624084486</v>
      </c>
      <c r="E70">
        <v>624084486</v>
      </c>
      <c r="F70">
        <v>647774691</v>
      </c>
      <c r="G70">
        <v>647774691</v>
      </c>
      <c r="H70">
        <v>647774691</v>
      </c>
      <c r="I70">
        <v>648263978</v>
      </c>
      <c r="J70">
        <v>650733068</v>
      </c>
    </row>
    <row r="71" spans="1:11" x14ac:dyDescent="0.25">
      <c r="A71" s="2" t="s">
        <v>40</v>
      </c>
      <c r="D71"/>
    </row>
    <row r="72" spans="1:11" x14ac:dyDescent="0.25">
      <c r="A72" s="2" t="s">
        <v>53</v>
      </c>
      <c r="B72">
        <v>10</v>
      </c>
      <c r="C72">
        <v>10</v>
      </c>
      <c r="D72">
        <v>10</v>
      </c>
      <c r="E72">
        <v>10</v>
      </c>
      <c r="F72">
        <v>10</v>
      </c>
      <c r="G72">
        <v>10</v>
      </c>
      <c r="H72">
        <v>10</v>
      </c>
      <c r="I72">
        <v>10</v>
      </c>
      <c r="J72">
        <v>10</v>
      </c>
      <c r="K72">
        <v>10</v>
      </c>
    </row>
    <row r="74" spans="1:11" x14ac:dyDescent="0.25">
      <c r="A74" s="3"/>
    </row>
    <row r="75" spans="1:11" x14ac:dyDescent="0.25">
      <c r="A75" s="3"/>
    </row>
    <row r="76" spans="1:11" x14ac:dyDescent="0.25">
      <c r="A76" s="3"/>
    </row>
    <row r="77" spans="1:11" x14ac:dyDescent="0.25">
      <c r="A77" s="3"/>
    </row>
    <row r="78" spans="1:11" x14ac:dyDescent="0.25">
      <c r="A78" s="3"/>
    </row>
    <row r="79" spans="1:11" x14ac:dyDescent="0.25">
      <c r="A79" s="3"/>
    </row>
    <row r="80" spans="1:11" x14ac:dyDescent="0.25">
      <c r="A80" s="1" t="s">
        <v>27</v>
      </c>
    </row>
    <row r="81" spans="1:11" s="6" customFormat="1" x14ac:dyDescent="0.25">
      <c r="A81" s="5" t="s">
        <v>24</v>
      </c>
      <c r="B81" s="4">
        <v>42460</v>
      </c>
      <c r="C81" s="4">
        <v>42825</v>
      </c>
      <c r="D81" s="4">
        <v>43190</v>
      </c>
      <c r="E81" s="4">
        <v>43555</v>
      </c>
      <c r="F81" s="4">
        <v>43921</v>
      </c>
      <c r="G81" s="4">
        <v>44286</v>
      </c>
      <c r="H81" s="4">
        <v>44651</v>
      </c>
      <c r="I81" s="4">
        <v>45016</v>
      </c>
      <c r="J81" s="4">
        <v>45382</v>
      </c>
      <c r="K81" s="4">
        <v>45747</v>
      </c>
    </row>
    <row r="82" spans="1:11" s="1" customFormat="1" x14ac:dyDescent="0.25">
      <c r="A82" s="3" t="s">
        <v>18</v>
      </c>
      <c r="B82">
        <v>433.47</v>
      </c>
      <c r="C82">
        <v>455.28</v>
      </c>
      <c r="D82">
        <v>729.99</v>
      </c>
      <c r="E82">
        <v>806.84</v>
      </c>
      <c r="F82">
        <v>1280.1400000000001</v>
      </c>
      <c r="G82">
        <v>1375.14</v>
      </c>
      <c r="H82">
        <v>1372.35</v>
      </c>
      <c r="I82">
        <v>2630.27</v>
      </c>
      <c r="J82">
        <v>2745.84</v>
      </c>
      <c r="K82">
        <v>2462.9699999999998</v>
      </c>
    </row>
    <row r="83" spans="1:11" s="3" customFormat="1" x14ac:dyDescent="0.25">
      <c r="A83" s="3" t="s">
        <v>19</v>
      </c>
      <c r="B83">
        <v>-632.89</v>
      </c>
      <c r="C83">
        <v>-2481.61</v>
      </c>
      <c r="D83">
        <v>463.55</v>
      </c>
      <c r="E83">
        <v>-958.37</v>
      </c>
      <c r="F83">
        <v>-4656.5600000000004</v>
      </c>
      <c r="G83">
        <v>-1110</v>
      </c>
      <c r="H83">
        <v>-1289.49</v>
      </c>
      <c r="I83">
        <v>-2313.1</v>
      </c>
      <c r="J83">
        <v>-2468.23</v>
      </c>
      <c r="K83">
        <v>-2185.31</v>
      </c>
    </row>
    <row r="84" spans="1:11" s="3" customFormat="1" x14ac:dyDescent="0.25">
      <c r="A84" s="3" t="s">
        <v>20</v>
      </c>
      <c r="B84">
        <v>196.44</v>
      </c>
      <c r="C84">
        <v>2025.26</v>
      </c>
      <c r="D84">
        <v>-1159.06</v>
      </c>
      <c r="E84">
        <v>208.98</v>
      </c>
      <c r="F84">
        <v>3357.42</v>
      </c>
      <c r="G84">
        <v>-179.5</v>
      </c>
      <c r="H84">
        <v>-179.24</v>
      </c>
      <c r="I84">
        <v>-205.14</v>
      </c>
      <c r="J84">
        <v>-147.63999999999999</v>
      </c>
      <c r="K84">
        <v>-259.3</v>
      </c>
    </row>
    <row r="85" spans="1:11" s="1" customFormat="1" x14ac:dyDescent="0.25">
      <c r="A85" s="3" t="s">
        <v>21</v>
      </c>
      <c r="B85">
        <v>-2.98</v>
      </c>
      <c r="C85">
        <v>-1.07</v>
      </c>
      <c r="D85">
        <v>34.479999999999997</v>
      </c>
      <c r="E85">
        <v>57.45</v>
      </c>
      <c r="F85">
        <v>-19</v>
      </c>
      <c r="G85">
        <v>85.64</v>
      </c>
      <c r="H85">
        <v>-96.38</v>
      </c>
      <c r="I85">
        <v>112.03</v>
      </c>
      <c r="J85">
        <v>129.97</v>
      </c>
      <c r="K85">
        <v>18.36</v>
      </c>
    </row>
    <row r="86" spans="1:11" x14ac:dyDescent="0.25">
      <c r="A86" s="3"/>
    </row>
    <row r="87" spans="1:11" x14ac:dyDescent="0.25">
      <c r="A87" s="3"/>
    </row>
    <row r="88" spans="1:11" x14ac:dyDescent="0.25">
      <c r="A88" s="3"/>
    </row>
    <row r="89" spans="1:11" x14ac:dyDescent="0.25">
      <c r="A89" s="3"/>
    </row>
    <row r="90" spans="1:11" s="1" customFormat="1" x14ac:dyDescent="0.25">
      <c r="A90" s="1" t="s">
        <v>42</v>
      </c>
      <c r="B90"/>
      <c r="C90">
        <v>637.85</v>
      </c>
      <c r="D90">
        <v>1324.8</v>
      </c>
      <c r="E90">
        <v>1471.1</v>
      </c>
      <c r="F90">
        <v>2187.5</v>
      </c>
      <c r="G90">
        <v>2859.05</v>
      </c>
      <c r="H90">
        <v>4003.35</v>
      </c>
      <c r="I90">
        <v>3401.05</v>
      </c>
      <c r="J90">
        <v>4525.6000000000004</v>
      </c>
      <c r="K90">
        <v>4083.2</v>
      </c>
    </row>
    <row r="92" spans="1:11" s="1" customFormat="1" x14ac:dyDescent="0.25">
      <c r="A92" s="1" t="s">
        <v>41</v>
      </c>
    </row>
    <row r="93" spans="1:11" x14ac:dyDescent="0.25">
      <c r="A93" s="2" t="s">
        <v>54</v>
      </c>
      <c r="B93" s="7">
        <v>56.15</v>
      </c>
      <c r="C93" s="7">
        <v>62.41</v>
      </c>
      <c r="D93" s="7">
        <v>62.41</v>
      </c>
      <c r="E93" s="7">
        <v>62.41</v>
      </c>
      <c r="F93" s="7">
        <v>64.78</v>
      </c>
      <c r="G93" s="7">
        <v>64.78</v>
      </c>
      <c r="H93" s="7">
        <v>64.78</v>
      </c>
      <c r="I93" s="7">
        <v>64.83</v>
      </c>
      <c r="J93" s="7">
        <v>65.069999999999993</v>
      </c>
      <c r="K93" s="7">
        <v>65.069999999999993</v>
      </c>
    </row>
  </sheetData>
  <mergeCells count="2">
    <mergeCell ref="E1:K1"/>
    <mergeCell ref="E2:K2"/>
  </mergeCells>
  <conditionalFormatting sqref="E1:K1">
    <cfRule type="cellIs" dxfId="0" priority="1" operator="notEqual">
      <formula>""</formula>
    </cfRule>
  </conditionalFormatting>
  <hyperlinks>
    <hyperlink ref="E1:K1" r:id="rId1" display="https://www.screener.in/excel/"/>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2"/>
  <sheetViews>
    <sheetView workbookViewId="0">
      <selection activeCell="F22" sqref="F22"/>
    </sheetView>
  </sheetViews>
  <sheetFormatPr defaultRowHeight="15" x14ac:dyDescent="0.25"/>
  <cols>
    <col min="1" max="1" width="36.85546875" bestFit="1" customWidth="1"/>
    <col min="2" max="2" width="9.28515625" bestFit="1" customWidth="1"/>
    <col min="3" max="4" width="10.42578125" bestFit="1" customWidth="1"/>
    <col min="5" max="5" width="10.5703125" bestFit="1" customWidth="1"/>
    <col min="6" max="6" width="10.42578125" bestFit="1" customWidth="1"/>
    <col min="7" max="7" width="10.5703125" bestFit="1" customWidth="1"/>
    <col min="8" max="8" width="9.7109375" bestFit="1" customWidth="1"/>
    <col min="9" max="11" width="10.5703125" bestFit="1" customWidth="1"/>
  </cols>
  <sheetData>
    <row r="1" spans="1:13" ht="15.75" thickBot="1" x14ac:dyDescent="0.3">
      <c r="B1" s="15">
        <v>42430</v>
      </c>
      <c r="C1" s="15">
        <v>42795</v>
      </c>
      <c r="D1" s="15">
        <v>43160</v>
      </c>
      <c r="E1" s="15">
        <v>43525</v>
      </c>
      <c r="F1" s="15">
        <v>43891</v>
      </c>
      <c r="G1" s="15">
        <v>44256</v>
      </c>
      <c r="H1" s="15">
        <v>44621</v>
      </c>
      <c r="I1" s="15">
        <v>44986</v>
      </c>
      <c r="J1" s="15">
        <v>45352</v>
      </c>
      <c r="K1" s="15">
        <v>45717</v>
      </c>
    </row>
    <row r="2" spans="1:13" ht="16.5" thickTop="1" thickBot="1" x14ac:dyDescent="0.3">
      <c r="A2" s="16" t="s">
        <v>87</v>
      </c>
      <c r="B2" s="18">
        <v>2385</v>
      </c>
      <c r="C2" s="17">
        <v>183</v>
      </c>
      <c r="D2" s="17">
        <v>682</v>
      </c>
      <c r="E2" s="18">
        <v>-4347</v>
      </c>
      <c r="F2" s="18">
        <v>-1457</v>
      </c>
      <c r="G2" s="18">
        <v>17909</v>
      </c>
      <c r="H2" s="18">
        <v>9248</v>
      </c>
      <c r="I2" s="18">
        <v>-7074</v>
      </c>
      <c r="J2" s="18">
        <v>-5630</v>
      </c>
      <c r="K2" s="18">
        <v>3176</v>
      </c>
    </row>
    <row r="3" spans="1:13" ht="15.75" thickTop="1" x14ac:dyDescent="0.25">
      <c r="A3" s="19" t="s">
        <v>88</v>
      </c>
      <c r="B3" s="18">
        <v>7595</v>
      </c>
      <c r="C3" s="18">
        <v>7911</v>
      </c>
      <c r="D3" s="18">
        <v>10159</v>
      </c>
      <c r="E3" s="18">
        <v>11112</v>
      </c>
      <c r="F3" s="18">
        <v>7774</v>
      </c>
      <c r="G3" s="18">
        <v>7588</v>
      </c>
      <c r="H3" s="18">
        <v>10515</v>
      </c>
      <c r="I3" s="18">
        <v>15642</v>
      </c>
      <c r="J3" s="18">
        <v>17541</v>
      </c>
      <c r="K3" s="18">
        <v>22050</v>
      </c>
    </row>
    <row r="4" spans="1:13" x14ac:dyDescent="0.25">
      <c r="A4" s="20" t="s">
        <v>43</v>
      </c>
      <c r="B4" s="22">
        <v>177</v>
      </c>
      <c r="C4" s="21">
        <v>-8609</v>
      </c>
      <c r="D4" s="21">
        <v>-11918</v>
      </c>
      <c r="E4" s="21">
        <v>-13712</v>
      </c>
      <c r="F4" s="21">
        <v>-1516</v>
      </c>
      <c r="G4" s="21">
        <v>4896</v>
      </c>
      <c r="H4" s="21">
        <v>-2506</v>
      </c>
      <c r="I4" s="21">
        <v>-21702</v>
      </c>
      <c r="J4" s="21">
        <v>-21777</v>
      </c>
      <c r="K4" s="21">
        <v>-3782</v>
      </c>
    </row>
    <row r="5" spans="1:13" x14ac:dyDescent="0.25">
      <c r="A5" s="20" t="s">
        <v>30</v>
      </c>
      <c r="B5" s="21">
        <v>-1113</v>
      </c>
      <c r="C5" s="22">
        <v>241</v>
      </c>
      <c r="D5" s="22">
        <v>-256</v>
      </c>
      <c r="E5" s="21">
        <v>-2276</v>
      </c>
      <c r="F5" s="21">
        <v>1316</v>
      </c>
      <c r="G5" s="22">
        <v>226</v>
      </c>
      <c r="H5" s="21">
        <v>-2173</v>
      </c>
      <c r="I5" s="21">
        <v>-5252</v>
      </c>
      <c r="J5" s="21">
        <v>-1753</v>
      </c>
      <c r="K5" s="21">
        <v>-1646</v>
      </c>
    </row>
    <row r="6" spans="1:13" x14ac:dyDescent="0.25">
      <c r="A6" s="20" t="s">
        <v>89</v>
      </c>
      <c r="B6" s="21">
        <v>1939</v>
      </c>
      <c r="C6" s="21">
        <v>2645</v>
      </c>
      <c r="D6" s="21">
        <v>5361</v>
      </c>
      <c r="E6" s="21">
        <v>3466</v>
      </c>
      <c r="F6" s="21">
        <v>-6775</v>
      </c>
      <c r="G6" s="21">
        <v>7049</v>
      </c>
      <c r="H6" s="21">
        <v>4972</v>
      </c>
      <c r="I6" s="21">
        <v>7013</v>
      </c>
      <c r="J6" s="21">
        <v>4354</v>
      </c>
      <c r="K6" s="21">
        <v>8485</v>
      </c>
      <c r="M6" s="29">
        <f>SUM(B3,B9,B10)</f>
        <v>2384</v>
      </c>
    </row>
    <row r="7" spans="1:13" x14ac:dyDescent="0.25">
      <c r="A7" s="20" t="s">
        <v>90</v>
      </c>
      <c r="B7" s="22">
        <v>0</v>
      </c>
      <c r="C7" s="22">
        <v>0</v>
      </c>
      <c r="D7" s="22">
        <v>0</v>
      </c>
      <c r="E7" s="22">
        <v>0</v>
      </c>
      <c r="F7" s="22">
        <v>0</v>
      </c>
      <c r="G7" s="22">
        <v>0</v>
      </c>
      <c r="H7" s="22">
        <v>0</v>
      </c>
      <c r="I7" s="22">
        <v>0</v>
      </c>
      <c r="J7" s="22">
        <v>0</v>
      </c>
      <c r="K7" s="22">
        <v>0</v>
      </c>
    </row>
    <row r="8" spans="1:13" ht="15.75" thickBot="1" x14ac:dyDescent="0.3">
      <c r="A8" s="20" t="s">
        <v>91</v>
      </c>
      <c r="B8" s="21">
        <v>-4241</v>
      </c>
      <c r="C8" s="22">
        <v>0</v>
      </c>
      <c r="D8" s="22">
        <v>0</v>
      </c>
      <c r="E8" s="22">
        <v>0</v>
      </c>
      <c r="F8" s="22">
        <v>0</v>
      </c>
      <c r="G8" s="22">
        <v>0</v>
      </c>
      <c r="H8" s="22">
        <v>0</v>
      </c>
      <c r="I8" s="22">
        <v>0</v>
      </c>
      <c r="J8" s="22">
        <v>0</v>
      </c>
      <c r="K8" s="21">
        <v>-17170</v>
      </c>
    </row>
    <row r="9" spans="1:13" ht="15.75" thickTop="1" x14ac:dyDescent="0.25">
      <c r="A9" s="19" t="s">
        <v>92</v>
      </c>
      <c r="B9" s="18">
        <v>-3238</v>
      </c>
      <c r="C9" s="18">
        <v>-5724</v>
      </c>
      <c r="D9" s="18">
        <v>-6813</v>
      </c>
      <c r="E9" s="18">
        <v>-12522</v>
      </c>
      <c r="F9" s="18">
        <v>-6974</v>
      </c>
      <c r="G9" s="18">
        <v>12171</v>
      </c>
      <c r="H9" s="17">
        <v>293</v>
      </c>
      <c r="I9" s="18">
        <v>-19941</v>
      </c>
      <c r="J9" s="18">
        <v>-19175</v>
      </c>
      <c r="K9" s="18">
        <v>-14113</v>
      </c>
    </row>
    <row r="10" spans="1:13" ht="15.75" thickBot="1" x14ac:dyDescent="0.3">
      <c r="A10" s="20" t="s">
        <v>93</v>
      </c>
      <c r="B10" s="21">
        <v>-1973</v>
      </c>
      <c r="C10" s="21">
        <v>-2005</v>
      </c>
      <c r="D10" s="21">
        <v>-2664</v>
      </c>
      <c r="E10" s="21">
        <v>-2937</v>
      </c>
      <c r="F10" s="21">
        <v>-2257</v>
      </c>
      <c r="G10" s="21">
        <v>-1850</v>
      </c>
      <c r="H10" s="21">
        <v>-1560</v>
      </c>
      <c r="I10" s="21">
        <v>-2775</v>
      </c>
      <c r="J10" s="21">
        <v>-3996</v>
      </c>
      <c r="K10" s="21">
        <v>-4761</v>
      </c>
    </row>
    <row r="11" spans="1:13" ht="15.75" thickTop="1" x14ac:dyDescent="0.25">
      <c r="A11" s="23" t="s">
        <v>94</v>
      </c>
      <c r="B11" s="24">
        <v>-5506</v>
      </c>
      <c r="C11" s="24">
        <v>-5875</v>
      </c>
      <c r="D11" s="24">
        <v>-5467</v>
      </c>
      <c r="E11" s="24">
        <v>-7174</v>
      </c>
      <c r="F11" s="24">
        <v>-6870</v>
      </c>
      <c r="G11" s="24">
        <v>-19686</v>
      </c>
      <c r="H11" s="24">
        <v>-3252</v>
      </c>
      <c r="I11" s="24">
        <v>-8866</v>
      </c>
      <c r="J11" s="24">
        <v>-5615</v>
      </c>
      <c r="K11" s="24">
        <v>-18626</v>
      </c>
    </row>
    <row r="12" spans="1:13" x14ac:dyDescent="0.25">
      <c r="A12" s="25" t="s">
        <v>95</v>
      </c>
      <c r="B12" s="26">
        <v>-4172</v>
      </c>
      <c r="C12" s="26">
        <v>-5026</v>
      </c>
      <c r="D12" s="26">
        <v>-5906</v>
      </c>
      <c r="E12" s="26">
        <v>-7340</v>
      </c>
      <c r="F12" s="26">
        <v>-6896</v>
      </c>
      <c r="G12" s="26">
        <v>-5989</v>
      </c>
      <c r="H12" s="26">
        <v>-6040</v>
      </c>
      <c r="I12" s="26">
        <v>-6305</v>
      </c>
      <c r="J12" s="26">
        <v>-9946</v>
      </c>
      <c r="K12" s="26">
        <v>-10392</v>
      </c>
    </row>
    <row r="13" spans="1:13" x14ac:dyDescent="0.25">
      <c r="A13" s="25" t="s">
        <v>96</v>
      </c>
      <c r="B13" s="27">
        <v>59</v>
      </c>
      <c r="C13" s="27">
        <v>63</v>
      </c>
      <c r="D13" s="27">
        <v>115</v>
      </c>
      <c r="E13" s="27">
        <v>142</v>
      </c>
      <c r="F13" s="27">
        <v>102</v>
      </c>
      <c r="G13" s="26">
        <v>1364</v>
      </c>
      <c r="H13" s="27">
        <v>120</v>
      </c>
      <c r="I13" s="27">
        <v>138</v>
      </c>
      <c r="J13" s="27">
        <v>273</v>
      </c>
      <c r="K13" s="27">
        <v>583</v>
      </c>
    </row>
    <row r="14" spans="1:13" x14ac:dyDescent="0.25">
      <c r="A14" s="25" t="s">
        <v>97</v>
      </c>
      <c r="B14" s="26">
        <v>-87898</v>
      </c>
      <c r="C14" s="26">
        <v>-132173</v>
      </c>
      <c r="D14" s="26">
        <v>-155159</v>
      </c>
      <c r="E14" s="26">
        <v>-196474</v>
      </c>
      <c r="F14" s="26">
        <v>-198568</v>
      </c>
      <c r="G14" s="26">
        <v>-120055</v>
      </c>
      <c r="H14" s="26">
        <v>-65421</v>
      </c>
      <c r="I14" s="26">
        <v>-50165</v>
      </c>
      <c r="J14" s="26">
        <v>-49927</v>
      </c>
      <c r="K14" s="26">
        <v>-90595</v>
      </c>
    </row>
    <row r="15" spans="1:13" x14ac:dyDescent="0.25">
      <c r="A15" s="25" t="s">
        <v>98</v>
      </c>
      <c r="B15" s="26">
        <v>86436</v>
      </c>
      <c r="C15" s="26">
        <v>130940</v>
      </c>
      <c r="D15" s="26">
        <v>154631</v>
      </c>
      <c r="E15" s="26">
        <v>195898</v>
      </c>
      <c r="F15" s="26">
        <v>198132</v>
      </c>
      <c r="G15" s="26">
        <v>111749</v>
      </c>
      <c r="H15" s="26">
        <v>65127</v>
      </c>
      <c r="I15" s="26">
        <v>46269</v>
      </c>
      <c r="J15" s="26">
        <v>50919</v>
      </c>
      <c r="K15" s="26">
        <v>85634</v>
      </c>
    </row>
    <row r="16" spans="1:13" x14ac:dyDescent="0.25">
      <c r="A16" s="25" t="s">
        <v>99</v>
      </c>
      <c r="B16" s="27">
        <v>311</v>
      </c>
      <c r="C16" s="27">
        <v>346</v>
      </c>
      <c r="D16" s="27">
        <v>254</v>
      </c>
      <c r="E16" s="27">
        <v>314</v>
      </c>
      <c r="F16" s="27">
        <v>372</v>
      </c>
      <c r="G16" s="27">
        <v>431</v>
      </c>
      <c r="H16" s="27">
        <v>420</v>
      </c>
      <c r="I16" s="27">
        <v>464</v>
      </c>
      <c r="J16" s="27">
        <v>703</v>
      </c>
      <c r="K16" s="27">
        <v>884</v>
      </c>
    </row>
    <row r="17" spans="1:11" x14ac:dyDescent="0.25">
      <c r="A17" s="25" t="s">
        <v>100</v>
      </c>
      <c r="B17" s="27">
        <v>208</v>
      </c>
      <c r="C17" s="27">
        <v>409</v>
      </c>
      <c r="D17" s="27">
        <v>316</v>
      </c>
      <c r="E17" s="27">
        <v>466</v>
      </c>
      <c r="F17" s="27">
        <v>722</v>
      </c>
      <c r="G17" s="27">
        <v>577</v>
      </c>
      <c r="H17" s="26">
        <v>1247</v>
      </c>
      <c r="I17" s="26">
        <v>1397</v>
      </c>
      <c r="J17" s="26">
        <v>1213</v>
      </c>
      <c r="K17" s="26">
        <v>1374</v>
      </c>
    </row>
    <row r="18" spans="1:11" x14ac:dyDescent="0.25">
      <c r="A18" s="25" t="s">
        <v>101</v>
      </c>
      <c r="B18" s="27">
        <v>-147</v>
      </c>
      <c r="C18" s="27">
        <v>-647</v>
      </c>
      <c r="D18" s="27">
        <v>-704</v>
      </c>
      <c r="E18" s="27">
        <v>-319</v>
      </c>
      <c r="F18" s="27">
        <v>-418</v>
      </c>
      <c r="G18" s="27">
        <v>-359</v>
      </c>
      <c r="H18" s="27">
        <v>-222</v>
      </c>
      <c r="I18" s="27">
        <v>-62</v>
      </c>
      <c r="J18" s="27">
        <v>-249</v>
      </c>
      <c r="K18" s="27">
        <v>-29</v>
      </c>
    </row>
    <row r="19" spans="1:11" x14ac:dyDescent="0.25">
      <c r="A19" s="25" t="s">
        <v>102</v>
      </c>
      <c r="B19" s="27">
        <v>0</v>
      </c>
      <c r="C19" s="27">
        <v>0</v>
      </c>
      <c r="D19" s="27">
        <v>0</v>
      </c>
      <c r="E19" s="27">
        <v>0</v>
      </c>
      <c r="F19" s="27">
        <v>0</v>
      </c>
      <c r="G19" s="27">
        <v>0</v>
      </c>
      <c r="H19" s="27">
        <v>0</v>
      </c>
      <c r="I19" s="27">
        <v>0</v>
      </c>
      <c r="J19" s="27">
        <v>0</v>
      </c>
      <c r="K19" s="27">
        <v>0</v>
      </c>
    </row>
    <row r="20" spans="1:11" x14ac:dyDescent="0.25">
      <c r="A20" s="25" t="s">
        <v>103</v>
      </c>
      <c r="B20" s="27">
        <v>0</v>
      </c>
      <c r="C20" s="27">
        <v>88</v>
      </c>
      <c r="D20" s="26">
        <v>1677</v>
      </c>
      <c r="E20" s="27">
        <v>717</v>
      </c>
      <c r="F20" s="27">
        <v>175</v>
      </c>
      <c r="G20" s="27">
        <v>316</v>
      </c>
      <c r="H20" s="27">
        <v>617</v>
      </c>
      <c r="I20" s="26">
        <v>1863</v>
      </c>
      <c r="J20" s="26">
        <v>1043</v>
      </c>
      <c r="K20" s="27">
        <v>0</v>
      </c>
    </row>
    <row r="21" spans="1:11" x14ac:dyDescent="0.25">
      <c r="A21" s="25" t="s">
        <v>104</v>
      </c>
      <c r="B21" s="27">
        <v>-208</v>
      </c>
      <c r="C21" s="27">
        <v>-83</v>
      </c>
      <c r="D21" s="27">
        <v>-401</v>
      </c>
      <c r="E21" s="27">
        <v>0</v>
      </c>
      <c r="F21" s="27">
        <v>-59</v>
      </c>
      <c r="G21" s="27">
        <v>0</v>
      </c>
      <c r="H21" s="27">
        <v>-42</v>
      </c>
      <c r="I21" s="27">
        <v>-587</v>
      </c>
      <c r="J21" s="27">
        <v>-53</v>
      </c>
      <c r="K21" s="27">
        <v>0</v>
      </c>
    </row>
    <row r="22" spans="1:11" x14ac:dyDescent="0.25">
      <c r="A22" s="25" t="s">
        <v>105</v>
      </c>
      <c r="B22" s="27">
        <v>0</v>
      </c>
      <c r="C22" s="27">
        <v>0</v>
      </c>
      <c r="D22" s="27">
        <v>0</v>
      </c>
      <c r="E22" s="27">
        <v>0</v>
      </c>
      <c r="F22" s="27">
        <v>6</v>
      </c>
      <c r="G22" s="27">
        <v>-262</v>
      </c>
      <c r="H22" s="27">
        <v>-552</v>
      </c>
      <c r="I22" s="27">
        <v>-93</v>
      </c>
      <c r="J22" s="27">
        <v>485</v>
      </c>
      <c r="K22" s="27">
        <v>0</v>
      </c>
    </row>
    <row r="23" spans="1:11" ht="15.75" thickBot="1" x14ac:dyDescent="0.3">
      <c r="A23" s="25" t="s">
        <v>106</v>
      </c>
      <c r="B23" s="27">
        <v>-94</v>
      </c>
      <c r="C23" s="27">
        <v>209</v>
      </c>
      <c r="D23" s="27">
        <v>-290</v>
      </c>
      <c r="E23" s="27">
        <v>-577</v>
      </c>
      <c r="F23" s="27">
        <v>-437</v>
      </c>
      <c r="G23" s="26">
        <v>-7457</v>
      </c>
      <c r="H23" s="26">
        <v>1494</v>
      </c>
      <c r="I23" s="26">
        <v>-1786</v>
      </c>
      <c r="J23" s="27">
        <v>-78</v>
      </c>
      <c r="K23" s="26">
        <v>-6085</v>
      </c>
    </row>
    <row r="24" spans="1:11" ht="15.75" thickTop="1" x14ac:dyDescent="0.25">
      <c r="A24" s="16" t="s">
        <v>107</v>
      </c>
      <c r="B24" s="18">
        <v>2967</v>
      </c>
      <c r="C24" s="18">
        <v>6108</v>
      </c>
      <c r="D24" s="18">
        <v>6314</v>
      </c>
      <c r="E24" s="18">
        <v>13194</v>
      </c>
      <c r="F24" s="18">
        <v>6933</v>
      </c>
      <c r="G24" s="17">
        <v>406</v>
      </c>
      <c r="H24" s="18">
        <v>-5883</v>
      </c>
      <c r="I24" s="18">
        <v>15946</v>
      </c>
      <c r="J24" s="18">
        <v>12281</v>
      </c>
      <c r="K24" s="18">
        <v>15834</v>
      </c>
    </row>
    <row r="25" spans="1:11" x14ac:dyDescent="0.25">
      <c r="A25" s="20" t="s">
        <v>108</v>
      </c>
      <c r="B25" s="22">
        <v>18</v>
      </c>
      <c r="C25" s="22">
        <v>12</v>
      </c>
      <c r="D25" s="22">
        <v>4</v>
      </c>
      <c r="E25" s="22">
        <v>1</v>
      </c>
      <c r="F25" s="21">
        <v>1243</v>
      </c>
      <c r="G25" s="22">
        <v>1</v>
      </c>
      <c r="H25" s="22">
        <v>1</v>
      </c>
      <c r="I25" s="22">
        <v>1</v>
      </c>
      <c r="J25" s="22">
        <v>1</v>
      </c>
      <c r="K25" s="22">
        <v>1</v>
      </c>
    </row>
    <row r="26" spans="1:11" x14ac:dyDescent="0.25">
      <c r="A26" s="20" t="s">
        <v>109</v>
      </c>
      <c r="B26" s="22">
        <v>0</v>
      </c>
      <c r="C26" s="22">
        <v>0</v>
      </c>
      <c r="D26" s="22">
        <v>0</v>
      </c>
      <c r="E26" s="21">
        <v>71389</v>
      </c>
      <c r="F26" s="21">
        <v>52618</v>
      </c>
      <c r="G26" s="21">
        <v>38100</v>
      </c>
      <c r="H26" s="21">
        <v>53880</v>
      </c>
      <c r="I26" s="21">
        <v>55622</v>
      </c>
      <c r="J26" s="21">
        <v>61308</v>
      </c>
      <c r="K26" s="21">
        <v>84640</v>
      </c>
    </row>
    <row r="27" spans="1:11" x14ac:dyDescent="0.25">
      <c r="A27" s="20" t="s">
        <v>110</v>
      </c>
      <c r="B27" s="22">
        <v>0</v>
      </c>
      <c r="C27" s="22">
        <v>0</v>
      </c>
      <c r="D27" s="22">
        <v>0</v>
      </c>
      <c r="E27" s="21">
        <v>-56352</v>
      </c>
      <c r="F27" s="21">
        <v>-44044</v>
      </c>
      <c r="G27" s="21">
        <v>-37505</v>
      </c>
      <c r="H27" s="21">
        <v>-57223</v>
      </c>
      <c r="I27" s="21">
        <v>-37056</v>
      </c>
      <c r="J27" s="21">
        <v>-46805</v>
      </c>
      <c r="K27" s="21">
        <v>-64227</v>
      </c>
    </row>
    <row r="28" spans="1:11" x14ac:dyDescent="0.25">
      <c r="A28" s="20" t="s">
        <v>111</v>
      </c>
      <c r="B28" s="22">
        <v>-443</v>
      </c>
      <c r="C28" s="22">
        <v>-471</v>
      </c>
      <c r="D28" s="22">
        <v>-521</v>
      </c>
      <c r="E28" s="22">
        <v>-723</v>
      </c>
      <c r="F28" s="22">
        <v>-624</v>
      </c>
      <c r="G28" s="22">
        <v>-809</v>
      </c>
      <c r="H28" s="22">
        <v>-680</v>
      </c>
      <c r="I28" s="22">
        <v>-734</v>
      </c>
      <c r="J28" s="22">
        <v>-597</v>
      </c>
      <c r="K28" s="22">
        <v>-436</v>
      </c>
    </row>
    <row r="29" spans="1:11" x14ac:dyDescent="0.25">
      <c r="A29" s="20" t="s">
        <v>112</v>
      </c>
      <c r="B29" s="22">
        <v>-932</v>
      </c>
      <c r="C29" s="22">
        <v>-936</v>
      </c>
      <c r="D29" s="22">
        <v>-963</v>
      </c>
      <c r="E29" s="21">
        <v>-1134</v>
      </c>
      <c r="F29" s="21">
        <v>-1398</v>
      </c>
      <c r="G29" s="22">
        <v>-271</v>
      </c>
      <c r="H29" s="21">
        <v>-1037</v>
      </c>
      <c r="I29" s="21">
        <v>-1522</v>
      </c>
      <c r="J29" s="21">
        <v>-2247</v>
      </c>
      <c r="K29" s="21">
        <v>-2806</v>
      </c>
    </row>
    <row r="30" spans="1:11" x14ac:dyDescent="0.25">
      <c r="A30" s="20" t="s">
        <v>113</v>
      </c>
      <c r="B30" s="22">
        <v>0</v>
      </c>
      <c r="C30" s="22">
        <v>0</v>
      </c>
      <c r="D30" s="22">
        <v>0</v>
      </c>
      <c r="E30" s="22">
        <v>0</v>
      </c>
      <c r="F30" s="22">
        <v>-558</v>
      </c>
      <c r="G30" s="22">
        <v>-553</v>
      </c>
      <c r="H30" s="22">
        <v>-583</v>
      </c>
      <c r="I30" s="22">
        <v>-751</v>
      </c>
      <c r="J30" s="22">
        <v>-786</v>
      </c>
      <c r="K30" s="21">
        <v>-1774</v>
      </c>
    </row>
    <row r="31" spans="1:11" ht="15.75" thickBot="1" x14ac:dyDescent="0.3">
      <c r="A31" s="20" t="s">
        <v>114</v>
      </c>
      <c r="B31" s="21">
        <v>4324</v>
      </c>
      <c r="C31" s="21">
        <v>7503</v>
      </c>
      <c r="D31" s="21">
        <v>7794</v>
      </c>
      <c r="E31" s="22">
        <v>12</v>
      </c>
      <c r="F31" s="22">
        <v>-304</v>
      </c>
      <c r="G31" s="21">
        <v>1444</v>
      </c>
      <c r="H31" s="22">
        <v>-240</v>
      </c>
      <c r="I31" s="22">
        <v>386</v>
      </c>
      <c r="J31" s="21">
        <v>1408</v>
      </c>
      <c r="K31" s="22">
        <v>437</v>
      </c>
    </row>
    <row r="32" spans="1:11" ht="15.75" thickTop="1" x14ac:dyDescent="0.25">
      <c r="A32" s="23" t="s">
        <v>21</v>
      </c>
      <c r="B32" s="28">
        <v>-154</v>
      </c>
      <c r="C32" s="28">
        <v>416</v>
      </c>
      <c r="D32" s="24">
        <v>1529</v>
      </c>
      <c r="E32" s="24">
        <v>1672</v>
      </c>
      <c r="F32" s="24">
        <v>-1394</v>
      </c>
      <c r="G32" s="24">
        <v>-1370</v>
      </c>
      <c r="H32" s="28">
        <v>113</v>
      </c>
      <c r="I32" s="28">
        <v>6</v>
      </c>
      <c r="J32" s="24">
        <v>1037</v>
      </c>
      <c r="K32" s="28">
        <v>384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2:M104"/>
  <sheetViews>
    <sheetView showGridLines="0" zoomScale="93" zoomScaleNormal="93" workbookViewId="0">
      <pane ySplit="3" topLeftCell="A4" activePane="bottomLeft" state="frozen"/>
      <selection pane="bottomLeft" activeCell="B104" sqref="B104"/>
    </sheetView>
  </sheetViews>
  <sheetFormatPr defaultRowHeight="15" x14ac:dyDescent="0.25"/>
  <cols>
    <col min="1" max="1" width="4.28515625" customWidth="1"/>
    <col min="2" max="2" width="31.7109375" customWidth="1"/>
    <col min="3" max="5" width="12" bestFit="1" customWidth="1"/>
    <col min="6" max="7" width="12.7109375" bestFit="1" customWidth="1"/>
    <col min="8" max="12" width="12" bestFit="1" customWidth="1"/>
  </cols>
  <sheetData>
    <row r="2" spans="1:13" x14ac:dyDescent="0.25">
      <c r="B2" s="36" t="str">
        <f>"Historical Financial Statement - "&amp;'Data Sheet'!B1:C1&amp;"(In Crores)"</f>
        <v>Historical Financial Statement - AVENUE SUPERMARTS LTD(In Crores)</v>
      </c>
      <c r="C2" s="36"/>
      <c r="D2" s="36"/>
      <c r="E2" s="36"/>
      <c r="F2" s="36"/>
      <c r="G2" s="36"/>
      <c r="H2" s="36"/>
      <c r="I2" s="36"/>
      <c r="J2" s="36"/>
      <c r="K2" s="36"/>
      <c r="L2" s="36"/>
      <c r="M2" s="36"/>
    </row>
    <row r="3" spans="1:13" x14ac:dyDescent="0.25">
      <c r="B3" s="10" t="s">
        <v>78</v>
      </c>
      <c r="C3" s="11">
        <f>'Data Sheet'!B16</f>
        <v>42460</v>
      </c>
      <c r="D3" s="11">
        <f>'Data Sheet'!C16</f>
        <v>42825</v>
      </c>
      <c r="E3" s="11">
        <f>'Data Sheet'!D16</f>
        <v>43190</v>
      </c>
      <c r="F3" s="11">
        <f>'Data Sheet'!E16</f>
        <v>43555</v>
      </c>
      <c r="G3" s="11">
        <f>'Data Sheet'!F16</f>
        <v>43921</v>
      </c>
      <c r="H3" s="11">
        <f>'Data Sheet'!G16</f>
        <v>44286</v>
      </c>
      <c r="I3" s="11">
        <f>'Data Sheet'!H16</f>
        <v>44651</v>
      </c>
      <c r="J3" s="11">
        <f>'Data Sheet'!I16</f>
        <v>45016</v>
      </c>
      <c r="K3" s="11">
        <f>'Data Sheet'!J16</f>
        <v>45382</v>
      </c>
      <c r="L3" s="11">
        <f>'Data Sheet'!K16</f>
        <v>45747</v>
      </c>
      <c r="M3" s="12"/>
    </row>
    <row r="4" spans="1:13" x14ac:dyDescent="0.25">
      <c r="A4" t="s">
        <v>77</v>
      </c>
      <c r="B4" s="8" t="s">
        <v>55</v>
      </c>
      <c r="C4" s="8"/>
      <c r="D4" s="8"/>
      <c r="E4" s="8"/>
      <c r="F4" s="8"/>
      <c r="G4" s="8"/>
      <c r="H4" s="8"/>
      <c r="I4" s="8"/>
      <c r="J4" s="8"/>
      <c r="K4" s="8"/>
      <c r="L4" s="8"/>
      <c r="M4" s="8"/>
    </row>
    <row r="5" spans="1:13" x14ac:dyDescent="0.25">
      <c r="B5" t="s">
        <v>1</v>
      </c>
      <c r="C5">
        <f>IFERROR('Data Sheet'!B17,0)</f>
        <v>8583.76</v>
      </c>
      <c r="D5">
        <f>IFERROR('Data Sheet'!C17,0)</f>
        <v>11897.7</v>
      </c>
      <c r="E5">
        <f>IFERROR('Data Sheet'!D17,0)</f>
        <v>15033.2</v>
      </c>
      <c r="F5">
        <f>IFERROR('Data Sheet'!E17,0)</f>
        <v>20004.52</v>
      </c>
      <c r="G5">
        <f>IFERROR('Data Sheet'!F17,0)</f>
        <v>24870.2</v>
      </c>
      <c r="H5">
        <f>IFERROR('Data Sheet'!G17,0)</f>
        <v>24143.06</v>
      </c>
      <c r="I5">
        <f>IFERROR('Data Sheet'!H17,0)</f>
        <v>30976.27</v>
      </c>
      <c r="J5">
        <f>IFERROR('Data Sheet'!I17,0)</f>
        <v>42839.56</v>
      </c>
      <c r="K5">
        <f>IFERROR('Data Sheet'!J17,0)</f>
        <v>50788.83</v>
      </c>
      <c r="L5">
        <f>IFERROR('Data Sheet'!K17,0)</f>
        <v>59358.05</v>
      </c>
    </row>
    <row r="6" spans="1:13" x14ac:dyDescent="0.25">
      <c r="B6" s="9" t="s">
        <v>10</v>
      </c>
      <c r="C6" s="30" t="s">
        <v>79</v>
      </c>
      <c r="D6" s="31">
        <f>IFERROR(D5/C5-1,0)</f>
        <v>0.38607090598991589</v>
      </c>
      <c r="E6" s="31">
        <f t="shared" ref="E6:L6" si="0">IFERROR(E5/D5-1,0)</f>
        <v>0.26353833093791246</v>
      </c>
      <c r="F6" s="31">
        <f t="shared" si="0"/>
        <v>0.33068940744485542</v>
      </c>
      <c r="G6" s="31">
        <f t="shared" si="0"/>
        <v>0.24322903023916598</v>
      </c>
      <c r="H6" s="31">
        <f t="shared" si="0"/>
        <v>-2.9237400583831175E-2</v>
      </c>
      <c r="I6" s="31">
        <f t="shared" si="0"/>
        <v>0.28302998874210639</v>
      </c>
      <c r="J6" s="31">
        <f t="shared" si="0"/>
        <v>0.38297993915987938</v>
      </c>
      <c r="K6" s="31">
        <f t="shared" si="0"/>
        <v>0.18555909537819737</v>
      </c>
      <c r="L6" s="31">
        <f t="shared" si="0"/>
        <v>0.16872253210007004</v>
      </c>
    </row>
    <row r="8" spans="1:13" x14ac:dyDescent="0.25">
      <c r="B8" t="s">
        <v>56</v>
      </c>
      <c r="C8">
        <f>IFERROR(SUM('Data Sheet'!B18,'Data Sheet'!B20,'Data Sheet'!B22,'Data Sheet'!B21)-'Data Sheet'!B19,0)</f>
        <v>7773.1799999999994</v>
      </c>
      <c r="D8">
        <f>IFERROR(SUM('Data Sheet'!C18,'Data Sheet'!C20,'Data Sheet'!C22,'Data Sheet'!C21)-'Data Sheet'!C19,0)</f>
        <v>10706.01</v>
      </c>
      <c r="E8">
        <f>IFERROR(SUM('Data Sheet'!D18,'Data Sheet'!D20,'Data Sheet'!D22,'Data Sheet'!D21)-'Data Sheet'!D19,0)</f>
        <v>13413.76</v>
      </c>
      <c r="F8">
        <f>IFERROR(SUM('Data Sheet'!E18,'Data Sheet'!E20,'Data Sheet'!E22,'Data Sheet'!E21)-'Data Sheet'!E19,0)</f>
        <v>18009.53</v>
      </c>
      <c r="G8">
        <f>IFERROR(SUM('Data Sheet'!F18,'Data Sheet'!F20,'Data Sheet'!F22,'Data Sheet'!F21)-'Data Sheet'!F19,0)</f>
        <v>22394.27</v>
      </c>
      <c r="H8">
        <f>IFERROR(SUM('Data Sheet'!G18,'Data Sheet'!G20,'Data Sheet'!G22,'Data Sheet'!G21)-'Data Sheet'!G19,0)</f>
        <v>22012.890000000003</v>
      </c>
      <c r="I8">
        <f>IFERROR(SUM('Data Sheet'!H18,'Data Sheet'!H20,'Data Sheet'!H22,'Data Sheet'!H21)-'Data Sheet'!H19,0)</f>
        <v>28028.46</v>
      </c>
      <c r="J8">
        <f>IFERROR(SUM('Data Sheet'!I18,'Data Sheet'!I20,'Data Sheet'!I22,'Data Sheet'!I21)-'Data Sheet'!I19,0)</f>
        <v>38563.29</v>
      </c>
      <c r="K8">
        <f>IFERROR(SUM('Data Sheet'!J18,'Data Sheet'!J20,'Data Sheet'!J22,'Data Sheet'!J21)-'Data Sheet'!J19,0)</f>
        <v>45882.38</v>
      </c>
      <c r="L8">
        <f>IFERROR(SUM('Data Sheet'!K18,'Data Sheet'!K20,'Data Sheet'!K22,'Data Sheet'!K21)-'Data Sheet'!K19,0)</f>
        <v>51717.600000000006</v>
      </c>
    </row>
    <row r="9" spans="1:13" x14ac:dyDescent="0.25">
      <c r="B9" s="9" t="s">
        <v>57</v>
      </c>
      <c r="C9" s="31">
        <f>IFERROR(C8/C5,0)</f>
        <v>0.90556818923175852</v>
      </c>
      <c r="D9" s="31">
        <f t="shared" ref="D9:L9" si="1">IFERROR(D8/D5,0)</f>
        <v>0.89983862427191807</v>
      </c>
      <c r="E9" s="31">
        <f t="shared" si="1"/>
        <v>0.89227576297794209</v>
      </c>
      <c r="F9" s="31">
        <f t="shared" si="1"/>
        <v>0.9002730382933456</v>
      </c>
      <c r="G9" s="31">
        <f t="shared" si="1"/>
        <v>0.90044591519167516</v>
      </c>
      <c r="H9" s="31">
        <f t="shared" si="1"/>
        <v>0.91176884785938495</v>
      </c>
      <c r="I9" s="31">
        <f t="shared" si="1"/>
        <v>0.90483650872103061</v>
      </c>
      <c r="J9" s="31">
        <f t="shared" si="1"/>
        <v>0.90017941360742271</v>
      </c>
      <c r="K9" s="31">
        <f t="shared" si="1"/>
        <v>0.90339509691402609</v>
      </c>
      <c r="L9" s="31">
        <f t="shared" si="1"/>
        <v>0.87128199123791972</v>
      </c>
    </row>
    <row r="11" spans="1:13" x14ac:dyDescent="0.25">
      <c r="B11" t="s">
        <v>58</v>
      </c>
      <c r="C11">
        <f>IFERROR(C5-C8,0)</f>
        <v>810.58000000000084</v>
      </c>
      <c r="D11">
        <f t="shared" ref="D11:L11" si="2">IFERROR(D5-D8,0)</f>
        <v>1191.6900000000005</v>
      </c>
      <c r="E11">
        <f t="shared" si="2"/>
        <v>1619.4400000000005</v>
      </c>
      <c r="F11">
        <f t="shared" si="2"/>
        <v>1994.9900000000016</v>
      </c>
      <c r="G11">
        <f t="shared" si="2"/>
        <v>2475.9300000000003</v>
      </c>
      <c r="H11">
        <f t="shared" si="2"/>
        <v>2130.1699999999983</v>
      </c>
      <c r="I11">
        <f t="shared" si="2"/>
        <v>2947.8100000000013</v>
      </c>
      <c r="J11">
        <f t="shared" si="2"/>
        <v>4276.2699999999968</v>
      </c>
      <c r="K11">
        <f t="shared" si="2"/>
        <v>4906.4500000000044</v>
      </c>
      <c r="L11">
        <f t="shared" si="2"/>
        <v>7640.4499999999971</v>
      </c>
    </row>
    <row r="12" spans="1:13" x14ac:dyDescent="0.25">
      <c r="B12" s="9" t="s">
        <v>59</v>
      </c>
      <c r="C12" s="31">
        <f>IFERROR(C11/C5,0)</f>
        <v>9.4431810768241517E-2</v>
      </c>
      <c r="D12" s="31">
        <f t="shared" ref="D12:L12" si="3">IFERROR(D11/D5,0)</f>
        <v>0.10016137572808194</v>
      </c>
      <c r="E12" s="31">
        <f t="shared" si="3"/>
        <v>0.10772423702205787</v>
      </c>
      <c r="F12" s="31">
        <f t="shared" si="3"/>
        <v>9.9726961706654377E-2</v>
      </c>
      <c r="G12" s="31">
        <f t="shared" si="3"/>
        <v>9.9554084808324825E-2</v>
      </c>
      <c r="H12" s="31">
        <f t="shared" si="3"/>
        <v>8.8231152140615068E-2</v>
      </c>
      <c r="I12" s="31">
        <f t="shared" si="3"/>
        <v>9.5163491278969392E-2</v>
      </c>
      <c r="J12" s="31">
        <f t="shared" si="3"/>
        <v>9.9820586392577265E-2</v>
      </c>
      <c r="K12" s="31">
        <f t="shared" si="3"/>
        <v>9.6604903085973914E-2</v>
      </c>
      <c r="L12" s="31">
        <f t="shared" si="3"/>
        <v>0.12871800876208023</v>
      </c>
    </row>
    <row r="14" spans="1:13" x14ac:dyDescent="0.25">
      <c r="B14" t="s">
        <v>60</v>
      </c>
      <c r="C14">
        <f>IFERROR(SUM('Data Sheet'!B23:B24)-'Data Sheet'!B25,0)</f>
        <v>129.1</v>
      </c>
      <c r="D14">
        <f>IFERROR(SUM('Data Sheet'!C23:C24)-'Data Sheet'!C25,0)</f>
        <v>194.81</v>
      </c>
      <c r="E14">
        <f>IFERROR(SUM('Data Sheet'!D23:D24)-'Data Sheet'!D25,0)</f>
        <v>178.83000000000004</v>
      </c>
      <c r="F14">
        <f>IFERROR(SUM('Data Sheet'!E23:E24)-'Data Sheet'!E25,0)</f>
        <v>313.35000000000002</v>
      </c>
      <c r="G14">
        <f>IFERROR(SUM('Data Sheet'!F23:F24)-'Data Sheet'!F25,0)</f>
        <v>287.63</v>
      </c>
      <c r="H14">
        <f>IFERROR(SUM('Data Sheet'!G23:G24)-'Data Sheet'!G25,0)</f>
        <v>190.90999999999997</v>
      </c>
      <c r="I14">
        <f>IFERROR(SUM('Data Sheet'!H23:H24)-'Data Sheet'!H25,0)</f>
        <v>331.82000000000005</v>
      </c>
      <c r="J14">
        <f>IFERROR(SUM('Data Sheet'!I23:I24)-'Data Sheet'!I25,0)</f>
        <v>509.9</v>
      </c>
      <c r="K14">
        <f>IFERROR(SUM('Data Sheet'!J23:J24)-'Data Sheet'!J25,0)</f>
        <v>656.2299999999999</v>
      </c>
      <c r="L14">
        <f>IFERROR(SUM('Data Sheet'!K23:K24)-'Data Sheet'!K25,0)</f>
        <v>3028.81</v>
      </c>
    </row>
    <row r="15" spans="1:13" x14ac:dyDescent="0.25">
      <c r="B15" s="9" t="s">
        <v>61</v>
      </c>
      <c r="C15" s="31">
        <f>IFERROR(C14/C5,0)</f>
        <v>1.5040029078166211E-2</v>
      </c>
      <c r="D15" s="31">
        <f t="shared" ref="D15:L15" si="4">IFERROR(D14/D5,0)</f>
        <v>1.6373752910226344E-2</v>
      </c>
      <c r="E15" s="31">
        <f t="shared" si="4"/>
        <v>1.1895670915041377E-2</v>
      </c>
      <c r="F15" s="31">
        <f t="shared" si="4"/>
        <v>1.566395994505242E-2</v>
      </c>
      <c r="G15" s="31">
        <f t="shared" si="4"/>
        <v>1.1565246761184067E-2</v>
      </c>
      <c r="H15" s="31">
        <f t="shared" si="4"/>
        <v>7.9074483516173993E-3</v>
      </c>
      <c r="I15" s="31">
        <f t="shared" si="4"/>
        <v>1.0712070885229243E-2</v>
      </c>
      <c r="J15" s="31">
        <f t="shared" si="4"/>
        <v>1.1902549886133285E-2</v>
      </c>
      <c r="K15" s="31">
        <f t="shared" si="4"/>
        <v>1.2920754425727071E-2</v>
      </c>
      <c r="L15" s="31">
        <f t="shared" si="4"/>
        <v>5.1026103451848569E-2</v>
      </c>
    </row>
    <row r="17" spans="2:12" x14ac:dyDescent="0.25">
      <c r="B17" t="s">
        <v>62</v>
      </c>
      <c r="C17">
        <f>IFERROR(C11-C14,0)</f>
        <v>681.48000000000081</v>
      </c>
      <c r="D17">
        <f t="shared" ref="D17:L17" si="5">IFERROR(D11-D14,0)</f>
        <v>996.88000000000056</v>
      </c>
      <c r="E17">
        <f t="shared" si="5"/>
        <v>1440.6100000000006</v>
      </c>
      <c r="F17">
        <f t="shared" si="5"/>
        <v>1681.6400000000017</v>
      </c>
      <c r="G17">
        <f t="shared" si="5"/>
        <v>2188.3000000000002</v>
      </c>
      <c r="H17">
        <f t="shared" si="5"/>
        <v>1939.2599999999984</v>
      </c>
      <c r="I17">
        <f t="shared" si="5"/>
        <v>2615.9900000000011</v>
      </c>
      <c r="J17">
        <f t="shared" si="5"/>
        <v>3766.3699999999967</v>
      </c>
      <c r="K17">
        <f t="shared" si="5"/>
        <v>4250.2200000000048</v>
      </c>
      <c r="L17">
        <f t="shared" si="5"/>
        <v>4611.6399999999976</v>
      </c>
    </row>
    <row r="18" spans="2:12" x14ac:dyDescent="0.25">
      <c r="B18" s="9" t="s">
        <v>63</v>
      </c>
      <c r="C18" s="31">
        <f>IFERROR(C17/C5,0)</f>
        <v>7.9391781690075311E-2</v>
      </c>
      <c r="D18" s="31">
        <f t="shared" ref="D18:L18" si="6">IFERROR(D17/D5,0)</f>
        <v>8.3787622817855595E-2</v>
      </c>
      <c r="E18" s="31">
        <f t="shared" si="6"/>
        <v>9.5828566107016511E-2</v>
      </c>
      <c r="F18" s="31">
        <f t="shared" si="6"/>
        <v>8.406300176160196E-2</v>
      </c>
      <c r="G18" s="31">
        <f t="shared" si="6"/>
        <v>8.7988838047140763E-2</v>
      </c>
      <c r="H18" s="31">
        <f t="shared" si="6"/>
        <v>8.0323703788997683E-2</v>
      </c>
      <c r="I18" s="31">
        <f t="shared" si="6"/>
        <v>8.4451420393740151E-2</v>
      </c>
      <c r="J18" s="31">
        <f t="shared" si="6"/>
        <v>8.7918036506443975E-2</v>
      </c>
      <c r="K18" s="31">
        <f t="shared" si="6"/>
        <v>8.3684148660246843E-2</v>
      </c>
      <c r="L18" s="31">
        <f t="shared" si="6"/>
        <v>7.7691905310231679E-2</v>
      </c>
    </row>
    <row r="20" spans="2:12" x14ac:dyDescent="0.25">
      <c r="B20" t="s">
        <v>6</v>
      </c>
      <c r="C20">
        <f>IFERROR('Data Sheet'!B27,0)</f>
        <v>91.34</v>
      </c>
      <c r="D20">
        <f>IFERROR('Data Sheet'!C27,0)</f>
        <v>121.98</v>
      </c>
      <c r="E20">
        <f>IFERROR('Data Sheet'!D27,0)</f>
        <v>59.54</v>
      </c>
      <c r="F20">
        <f>IFERROR('Data Sheet'!E27,0)</f>
        <v>47.21</v>
      </c>
      <c r="G20">
        <f>IFERROR('Data Sheet'!F27,0)</f>
        <v>69.12</v>
      </c>
      <c r="H20">
        <f>IFERROR('Data Sheet'!G27,0)</f>
        <v>41.65</v>
      </c>
      <c r="I20">
        <f>IFERROR('Data Sheet'!H27,0)</f>
        <v>53.79</v>
      </c>
      <c r="J20">
        <f>IFERROR('Data Sheet'!I27,0)</f>
        <v>67.41</v>
      </c>
      <c r="K20">
        <f>IFERROR('Data Sheet'!J27,0)</f>
        <v>58.13</v>
      </c>
      <c r="L20">
        <f>IFERROR('Data Sheet'!K27,0)</f>
        <v>69.45</v>
      </c>
    </row>
    <row r="21" spans="2:12" x14ac:dyDescent="0.25">
      <c r="B21" s="9" t="s">
        <v>64</v>
      </c>
      <c r="C21" s="31">
        <f>IFERROR(C20/C5,0)</f>
        <v>1.0641024446163452E-2</v>
      </c>
      <c r="D21" s="31">
        <f t="shared" ref="D21:L21" si="7">IFERROR(D20/D5,0)</f>
        <v>1.0252401724703094E-2</v>
      </c>
      <c r="E21" s="31">
        <f t="shared" si="7"/>
        <v>3.9605672777585609E-3</v>
      </c>
      <c r="F21" s="31">
        <f t="shared" si="7"/>
        <v>2.3599666475376565E-3</v>
      </c>
      <c r="G21" s="31">
        <f t="shared" si="7"/>
        <v>2.7792297609186899E-3</v>
      </c>
      <c r="H21" s="31">
        <f t="shared" si="7"/>
        <v>1.7251334337900829E-3</v>
      </c>
      <c r="I21" s="31">
        <f t="shared" si="7"/>
        <v>1.7364905458274996E-3</v>
      </c>
      <c r="J21" s="31">
        <f t="shared" si="7"/>
        <v>1.5735455732972048E-3</v>
      </c>
      <c r="K21" s="31">
        <f t="shared" si="7"/>
        <v>1.1445430028610621E-3</v>
      </c>
      <c r="L21" s="31">
        <f t="shared" si="7"/>
        <v>1.170018219938155E-3</v>
      </c>
    </row>
    <row r="23" spans="2:12" x14ac:dyDescent="0.25">
      <c r="B23" t="s">
        <v>5</v>
      </c>
      <c r="C23">
        <f>IFERROR('Data Sheet'!B26,0)</f>
        <v>98.43</v>
      </c>
      <c r="D23">
        <f>IFERROR('Data Sheet'!C26,0)</f>
        <v>127.82</v>
      </c>
      <c r="E23">
        <f>IFERROR('Data Sheet'!D26,0)</f>
        <v>159</v>
      </c>
      <c r="F23">
        <f>IFERROR('Data Sheet'!E26,0)</f>
        <v>212.49</v>
      </c>
      <c r="G23">
        <f>IFERROR('Data Sheet'!F26,0)</f>
        <v>374.41</v>
      </c>
      <c r="H23">
        <f>IFERROR('Data Sheet'!G26,0)</f>
        <v>414.16</v>
      </c>
      <c r="I23">
        <f>IFERROR('Data Sheet'!H26,0)</f>
        <v>498.08</v>
      </c>
      <c r="J23">
        <f>IFERROR('Data Sheet'!I26,0)</f>
        <v>638.87</v>
      </c>
      <c r="K23">
        <f>IFERROR('Data Sheet'!J26,0)</f>
        <v>730.76</v>
      </c>
      <c r="L23">
        <f>IFERROR('Data Sheet'!K26,0)</f>
        <v>869.52</v>
      </c>
    </row>
    <row r="24" spans="2:12" x14ac:dyDescent="0.25">
      <c r="B24" s="9" t="s">
        <v>65</v>
      </c>
      <c r="C24" s="31">
        <f>IFERROR(C23/C5,0)</f>
        <v>1.1467002805297445E-2</v>
      </c>
      <c r="D24" s="31">
        <f t="shared" ref="D24:L24" si="8">IFERROR(D23/D5,0)</f>
        <v>1.0743252897618866E-2</v>
      </c>
      <c r="E24" s="31">
        <f t="shared" si="8"/>
        <v>1.0576590479738178E-2</v>
      </c>
      <c r="F24" s="31">
        <f t="shared" si="8"/>
        <v>1.062209940553435E-2</v>
      </c>
      <c r="G24" s="31">
        <f t="shared" si="8"/>
        <v>1.5054563292615258E-2</v>
      </c>
      <c r="H24" s="31">
        <f t="shared" si="8"/>
        <v>1.7154412075354161E-2</v>
      </c>
      <c r="I24" s="31">
        <f t="shared" si="8"/>
        <v>1.6079405299605148E-2</v>
      </c>
      <c r="J24" s="31">
        <f t="shared" si="8"/>
        <v>1.4913085008342757E-2</v>
      </c>
      <c r="K24" s="31">
        <f t="shared" si="8"/>
        <v>1.4388203075361254E-2</v>
      </c>
      <c r="L24" s="31">
        <f t="shared" si="8"/>
        <v>1.4648729195113383E-2</v>
      </c>
    </row>
    <row r="26" spans="2:12" x14ac:dyDescent="0.25">
      <c r="B26" t="s">
        <v>66</v>
      </c>
      <c r="C26">
        <f>IFERROR(C17-SUM(C20,C23),0)</f>
        <v>491.71000000000083</v>
      </c>
      <c r="D26">
        <f t="shared" ref="D26:L26" si="9">IFERROR(D17-SUM(D20,D23),0)</f>
        <v>747.08000000000061</v>
      </c>
      <c r="E26">
        <f t="shared" si="9"/>
        <v>1222.0700000000006</v>
      </c>
      <c r="F26">
        <f t="shared" si="9"/>
        <v>1421.9400000000016</v>
      </c>
      <c r="G26">
        <f t="shared" si="9"/>
        <v>1744.7700000000002</v>
      </c>
      <c r="H26">
        <f t="shared" si="9"/>
        <v>1483.4499999999985</v>
      </c>
      <c r="I26">
        <f t="shared" si="9"/>
        <v>2064.1200000000013</v>
      </c>
      <c r="J26">
        <f t="shared" si="9"/>
        <v>3060.0899999999965</v>
      </c>
      <c r="K26">
        <f t="shared" si="9"/>
        <v>3461.3300000000049</v>
      </c>
      <c r="L26">
        <f t="shared" si="9"/>
        <v>3672.6699999999973</v>
      </c>
    </row>
    <row r="27" spans="2:12" x14ac:dyDescent="0.25">
      <c r="B27" s="9" t="s">
        <v>67</v>
      </c>
      <c r="C27" s="31">
        <f>IFERROR(C26/C5,0)</f>
        <v>5.7283754438614408E-2</v>
      </c>
      <c r="D27" s="31">
        <f t="shared" ref="D27:L27" si="10">IFERROR(D26/D5,0)</f>
        <v>6.2791968195533635E-2</v>
      </c>
      <c r="E27" s="31">
        <f t="shared" si="10"/>
        <v>8.129140834951977E-2</v>
      </c>
      <c r="F27" s="31">
        <f t="shared" si="10"/>
        <v>7.1080935708529955E-2</v>
      </c>
      <c r="G27" s="31">
        <f t="shared" si="10"/>
        <v>7.0155044993606808E-2</v>
      </c>
      <c r="H27" s="31">
        <f t="shared" si="10"/>
        <v>6.1444158279853438E-2</v>
      </c>
      <c r="I27" s="31">
        <f t="shared" si="10"/>
        <v>6.6635524548307498E-2</v>
      </c>
      <c r="J27" s="31">
        <f t="shared" si="10"/>
        <v>7.1431405924804001E-2</v>
      </c>
      <c r="K27" s="31">
        <f t="shared" si="10"/>
        <v>6.8151402582024526E-2</v>
      </c>
      <c r="L27" s="31">
        <f t="shared" si="10"/>
        <v>6.1873157895180136E-2</v>
      </c>
    </row>
    <row r="29" spans="2:12" x14ac:dyDescent="0.25">
      <c r="B29" t="s">
        <v>8</v>
      </c>
      <c r="C29">
        <f>IFERROR('Data Sheet'!B29,0)</f>
        <v>171.47</v>
      </c>
      <c r="D29">
        <f>IFERROR('Data Sheet'!C29,0)</f>
        <v>268.27999999999997</v>
      </c>
      <c r="E29">
        <f>IFERROR('Data Sheet'!D29,0)</f>
        <v>415.79</v>
      </c>
      <c r="F29">
        <f>IFERROR('Data Sheet'!E29,0)</f>
        <v>519.48</v>
      </c>
      <c r="G29">
        <f>IFERROR('Data Sheet'!F29,0)</f>
        <v>443.79</v>
      </c>
      <c r="H29">
        <f>IFERROR('Data Sheet'!G29,0)</f>
        <v>384.02</v>
      </c>
      <c r="I29">
        <f>IFERROR('Data Sheet'!H29,0)</f>
        <v>571.72</v>
      </c>
      <c r="J29">
        <f>IFERROR('Data Sheet'!I29,0)</f>
        <v>681.75</v>
      </c>
      <c r="K29">
        <f>IFERROR('Data Sheet'!J29,0)</f>
        <v>925.72</v>
      </c>
      <c r="L29">
        <f>IFERROR('Data Sheet'!K29,0)</f>
        <v>965.22</v>
      </c>
    </row>
    <row r="30" spans="2:12" x14ac:dyDescent="0.25">
      <c r="B30" s="9" t="s">
        <v>68</v>
      </c>
      <c r="C30" s="31">
        <f>IFERROR(C29/C26,0)</f>
        <v>0.34872180756950177</v>
      </c>
      <c r="D30" s="31">
        <f t="shared" ref="D30:L30" si="11">IFERROR(D29/D26,0)</f>
        <v>0.35910478128179013</v>
      </c>
      <c r="E30" s="31">
        <f t="shared" si="11"/>
        <v>0.34023419280401268</v>
      </c>
      <c r="F30" s="31">
        <f t="shared" si="11"/>
        <v>0.36533187054306049</v>
      </c>
      <c r="G30" s="31">
        <f t="shared" si="11"/>
        <v>0.25435444213277392</v>
      </c>
      <c r="H30" s="31">
        <f t="shared" si="11"/>
        <v>0.2588695271158451</v>
      </c>
      <c r="I30" s="31">
        <f t="shared" si="11"/>
        <v>0.27698002054144122</v>
      </c>
      <c r="J30" s="31">
        <f t="shared" si="11"/>
        <v>0.22278756507161579</v>
      </c>
      <c r="K30" s="31">
        <f t="shared" si="11"/>
        <v>0.26744632843444532</v>
      </c>
      <c r="L30" s="31">
        <f t="shared" si="11"/>
        <v>0.26281152404109293</v>
      </c>
    </row>
    <row r="32" spans="2:12" x14ac:dyDescent="0.25">
      <c r="B32" t="s">
        <v>69</v>
      </c>
      <c r="C32">
        <f>IFERROR('Data Sheet'!B30,0)</f>
        <v>320.24</v>
      </c>
      <c r="D32">
        <f>IFERROR('Data Sheet'!C30,0)</f>
        <v>478.75</v>
      </c>
      <c r="E32">
        <f>IFERROR('Data Sheet'!D30,0)</f>
        <v>806.26</v>
      </c>
      <c r="F32">
        <f>IFERROR('Data Sheet'!E30,0)</f>
        <v>902.54</v>
      </c>
      <c r="G32">
        <f>IFERROR('Data Sheet'!F30,0)</f>
        <v>1301.08</v>
      </c>
      <c r="H32">
        <f>IFERROR('Data Sheet'!G30,0)</f>
        <v>1099.49</v>
      </c>
      <c r="I32">
        <f>IFERROR('Data Sheet'!H30,0)</f>
        <v>1492.55</v>
      </c>
      <c r="J32">
        <f>IFERROR('Data Sheet'!I30,0)</f>
        <v>2378.5100000000002</v>
      </c>
      <c r="K32">
        <f>IFERROR('Data Sheet'!J30,0)</f>
        <v>2536.17</v>
      </c>
      <c r="L32">
        <f>IFERROR('Data Sheet'!K30,0)</f>
        <v>2708.02</v>
      </c>
    </row>
    <row r="33" spans="1:12" x14ac:dyDescent="0.25">
      <c r="B33" s="9" t="s">
        <v>70</v>
      </c>
      <c r="C33" s="31">
        <f>IFERROR(C32/C5,0)</f>
        <v>3.7307660046413227E-2</v>
      </c>
      <c r="D33" s="31">
        <f t="shared" ref="D33:L33" si="12">IFERROR(D32/D5,0)</f>
        <v>4.0238869697504558E-2</v>
      </c>
      <c r="E33" s="31">
        <f t="shared" si="12"/>
        <v>5.3631961259079902E-2</v>
      </c>
      <c r="F33" s="31">
        <f t="shared" si="12"/>
        <v>4.511680360238586E-2</v>
      </c>
      <c r="G33" s="31">
        <f t="shared" si="12"/>
        <v>5.2314818537848508E-2</v>
      </c>
      <c r="H33" s="31">
        <f t="shared" si="12"/>
        <v>4.5540623268135849E-2</v>
      </c>
      <c r="I33" s="31">
        <f t="shared" si="12"/>
        <v>4.8183658006596658E-2</v>
      </c>
      <c r="J33" s="31">
        <f t="shared" si="12"/>
        <v>5.5521345223900537E-2</v>
      </c>
      <c r="K33" s="31">
        <f t="shared" si="12"/>
        <v>4.9935586230279376E-2</v>
      </c>
      <c r="L33" s="31">
        <f t="shared" si="12"/>
        <v>4.5621781712842653E-2</v>
      </c>
    </row>
    <row r="35" spans="1:12" x14ac:dyDescent="0.25">
      <c r="B35" t="s">
        <v>71</v>
      </c>
      <c r="C35">
        <f>IFERROR('Data Sheet'!B93,0)</f>
        <v>56.15</v>
      </c>
      <c r="D35">
        <f>IFERROR('Data Sheet'!C93,0)</f>
        <v>62.41</v>
      </c>
      <c r="E35">
        <f>IFERROR('Data Sheet'!D93,0)</f>
        <v>62.41</v>
      </c>
      <c r="F35">
        <f>IFERROR('Data Sheet'!E93,0)</f>
        <v>62.41</v>
      </c>
      <c r="G35">
        <f>IFERROR('Data Sheet'!F93,0)</f>
        <v>64.78</v>
      </c>
      <c r="H35">
        <f>IFERROR('Data Sheet'!G93,0)</f>
        <v>64.78</v>
      </c>
      <c r="I35">
        <f>IFERROR('Data Sheet'!H93,0)</f>
        <v>64.78</v>
      </c>
      <c r="J35">
        <f>IFERROR('Data Sheet'!I93,0)</f>
        <v>64.83</v>
      </c>
      <c r="K35">
        <f>IFERROR('Data Sheet'!J93,0)</f>
        <v>65.069999999999993</v>
      </c>
      <c r="L35">
        <f>IFERROR('Data Sheet'!K93,0)</f>
        <v>65.069999999999993</v>
      </c>
    </row>
    <row r="37" spans="1:12" x14ac:dyDescent="0.25">
      <c r="B37" t="s">
        <v>72</v>
      </c>
      <c r="C37">
        <f>IFERROR(C32/C35,0)</f>
        <v>5.7032947462154944</v>
      </c>
      <c r="D37">
        <f t="shared" ref="D37:L37" si="13">IFERROR(D32/D35,0)</f>
        <v>7.6710463066816219</v>
      </c>
      <c r="E37">
        <f t="shared" si="13"/>
        <v>12.918763018746997</v>
      </c>
      <c r="F37">
        <f t="shared" si="13"/>
        <v>14.461464508892806</v>
      </c>
      <c r="G37">
        <f t="shared" si="13"/>
        <v>20.084594010497067</v>
      </c>
      <c r="H37">
        <f t="shared" si="13"/>
        <v>16.972676752083977</v>
      </c>
      <c r="I37">
        <f t="shared" si="13"/>
        <v>23.040290213028712</v>
      </c>
      <c r="J37">
        <f t="shared" si="13"/>
        <v>36.688415856856395</v>
      </c>
      <c r="K37">
        <f t="shared" si="13"/>
        <v>38.976025818349477</v>
      </c>
      <c r="L37">
        <f t="shared" si="13"/>
        <v>41.617027816197947</v>
      </c>
    </row>
    <row r="38" spans="1:12" x14ac:dyDescent="0.25">
      <c r="B38" s="9" t="s">
        <v>73</v>
      </c>
      <c r="C38" s="32" t="s">
        <v>79</v>
      </c>
      <c r="D38" s="31">
        <f>IFERROR(D37/C37-1,0)</f>
        <v>0.34502014151940119</v>
      </c>
      <c r="E38" s="31">
        <f t="shared" ref="E38:L38" si="14">IFERROR(E37/D37-1,0)</f>
        <v>0.68409399477806798</v>
      </c>
      <c r="F38" s="31">
        <f t="shared" si="14"/>
        <v>0.11941557314017803</v>
      </c>
      <c r="G38" s="31">
        <f t="shared" si="14"/>
        <v>0.38883541138910394</v>
      </c>
      <c r="H38" s="31">
        <f t="shared" si="14"/>
        <v>-0.1549405109601254</v>
      </c>
      <c r="I38" s="31">
        <f t="shared" si="14"/>
        <v>0.35749301949085477</v>
      </c>
      <c r="J38" s="31">
        <f t="shared" si="14"/>
        <v>0.5923591030164197</v>
      </c>
      <c r="K38" s="31">
        <f t="shared" si="14"/>
        <v>6.2352377666520908E-2</v>
      </c>
      <c r="L38" s="31">
        <f t="shared" si="14"/>
        <v>6.7759653335541348E-2</v>
      </c>
    </row>
    <row r="40" spans="1:12" x14ac:dyDescent="0.25">
      <c r="B40" t="s">
        <v>74</v>
      </c>
      <c r="C40">
        <f>IFERROR('Data Sheet'!B31/'FS Analysis'!C35,0)</f>
        <v>0</v>
      </c>
      <c r="D40">
        <f>IFERROR('Data Sheet'!C31/'FS Analysis'!D35,0)</f>
        <v>0</v>
      </c>
      <c r="E40">
        <f>IFERROR('Data Sheet'!D31/'FS Analysis'!E35,0)</f>
        <v>0</v>
      </c>
      <c r="F40">
        <f>IFERROR('Data Sheet'!E31/'FS Analysis'!F35,0)</f>
        <v>0</v>
      </c>
      <c r="G40">
        <f>IFERROR('Data Sheet'!F31/'FS Analysis'!G35,0)</f>
        <v>0</v>
      </c>
      <c r="H40">
        <f>IFERROR('Data Sheet'!G31/'FS Analysis'!H35,0)</f>
        <v>0</v>
      </c>
      <c r="I40">
        <f>IFERROR('Data Sheet'!H31/'FS Analysis'!I35,0)</f>
        <v>0</v>
      </c>
      <c r="J40">
        <f>IFERROR('Data Sheet'!I31/'FS Analysis'!J35,0)</f>
        <v>0</v>
      </c>
      <c r="K40">
        <f>IFERROR('Data Sheet'!J31/'FS Analysis'!K35,0)</f>
        <v>0</v>
      </c>
      <c r="L40">
        <f>IFERROR('Data Sheet'!K31/'FS Analysis'!L35,0)</f>
        <v>0</v>
      </c>
    </row>
    <row r="41" spans="1:12" x14ac:dyDescent="0.25">
      <c r="B41" s="9" t="s">
        <v>75</v>
      </c>
      <c r="C41" s="31">
        <f>IFERROR(C40/C37,0)</f>
        <v>0</v>
      </c>
      <c r="D41" s="31">
        <f t="shared" ref="D41:L41" si="15">IFERROR(D40/D37,0)</f>
        <v>0</v>
      </c>
      <c r="E41" s="31">
        <f t="shared" si="15"/>
        <v>0</v>
      </c>
      <c r="F41" s="31">
        <f t="shared" si="15"/>
        <v>0</v>
      </c>
      <c r="G41" s="31">
        <f t="shared" si="15"/>
        <v>0</v>
      </c>
      <c r="H41" s="31">
        <f t="shared" si="15"/>
        <v>0</v>
      </c>
      <c r="I41" s="31">
        <f t="shared" si="15"/>
        <v>0</v>
      </c>
      <c r="J41" s="31">
        <f t="shared" si="15"/>
        <v>0</v>
      </c>
      <c r="K41" s="31">
        <f t="shared" si="15"/>
        <v>0</v>
      </c>
      <c r="L41" s="31">
        <f t="shared" si="15"/>
        <v>0</v>
      </c>
    </row>
    <row r="43" spans="1:12" x14ac:dyDescent="0.25">
      <c r="B43" t="s">
        <v>76</v>
      </c>
      <c r="C43" s="31">
        <f>IFERROR(IF(C37&gt;C40,1-C41,0),0)</f>
        <v>1</v>
      </c>
      <c r="D43" s="31">
        <f t="shared" ref="D43:L43" si="16">IFERROR(IF(D37&gt;D40,1-D41,0),0)</f>
        <v>1</v>
      </c>
      <c r="E43" s="31">
        <f t="shared" si="16"/>
        <v>1</v>
      </c>
      <c r="F43" s="31">
        <f t="shared" si="16"/>
        <v>1</v>
      </c>
      <c r="G43" s="31">
        <f t="shared" si="16"/>
        <v>1</v>
      </c>
      <c r="H43" s="31">
        <f t="shared" si="16"/>
        <v>1</v>
      </c>
      <c r="I43" s="31">
        <f t="shared" si="16"/>
        <v>1</v>
      </c>
      <c r="J43" s="31">
        <f t="shared" si="16"/>
        <v>1</v>
      </c>
      <c r="K43" s="31">
        <f t="shared" si="16"/>
        <v>1</v>
      </c>
      <c r="L43" s="31">
        <f t="shared" si="16"/>
        <v>1</v>
      </c>
    </row>
    <row r="45" spans="1:12" x14ac:dyDescent="0.25">
      <c r="A45" t="s">
        <v>77</v>
      </c>
      <c r="B45" s="8" t="s">
        <v>80</v>
      </c>
      <c r="C45" s="8"/>
      <c r="D45" s="8"/>
      <c r="E45" s="8"/>
      <c r="F45" s="8"/>
      <c r="G45" s="8"/>
      <c r="H45" s="8"/>
      <c r="I45" s="8"/>
      <c r="J45" s="8"/>
      <c r="K45" s="8"/>
      <c r="L45" s="8"/>
    </row>
    <row r="46" spans="1:12" x14ac:dyDescent="0.25">
      <c r="B46" t="str">
        <f>IFERROR('Data Sheet'!A57,0)</f>
        <v>Equity Share Capital</v>
      </c>
      <c r="C46">
        <f>IFERROR('Data Sheet'!B57,0)</f>
        <v>561.54</v>
      </c>
      <c r="D46">
        <f>IFERROR('Data Sheet'!C57,0)</f>
        <v>624.08000000000004</v>
      </c>
      <c r="E46">
        <f>IFERROR('Data Sheet'!D57,0)</f>
        <v>624.08000000000004</v>
      </c>
      <c r="F46">
        <f>IFERROR('Data Sheet'!E57,0)</f>
        <v>624.08000000000004</v>
      </c>
      <c r="G46">
        <f>IFERROR('Data Sheet'!F57,0)</f>
        <v>647.77</v>
      </c>
      <c r="H46">
        <f>IFERROR('Data Sheet'!G57,0)</f>
        <v>647.77</v>
      </c>
      <c r="I46">
        <f>IFERROR('Data Sheet'!H57,0)</f>
        <v>647.77</v>
      </c>
      <c r="J46">
        <f>IFERROR('Data Sheet'!I57,0)</f>
        <v>648.26</v>
      </c>
      <c r="K46">
        <f>IFERROR('Data Sheet'!J57,0)</f>
        <v>650.73</v>
      </c>
      <c r="L46">
        <f>IFERROR('Data Sheet'!K57,0)</f>
        <v>650.73</v>
      </c>
    </row>
    <row r="47" spans="1:12" x14ac:dyDescent="0.25">
      <c r="B47" t="str">
        <f>IFERROR('Data Sheet'!A58,0)</f>
        <v>Reserves</v>
      </c>
      <c r="C47">
        <f>IFERROR('Data Sheet'!B58,0)</f>
        <v>958.9</v>
      </c>
      <c r="D47">
        <f>IFERROR('Data Sheet'!C58,0)</f>
        <v>3217.7</v>
      </c>
      <c r="E47">
        <f>IFERROR('Data Sheet'!D58,0)</f>
        <v>4044.97</v>
      </c>
      <c r="F47">
        <f>IFERROR('Data Sheet'!E58,0)</f>
        <v>4963.37</v>
      </c>
      <c r="G47">
        <f>IFERROR('Data Sheet'!F58,0)</f>
        <v>10431.969999999999</v>
      </c>
      <c r="H47">
        <f>IFERROR('Data Sheet'!G58,0)</f>
        <v>11535.94</v>
      </c>
      <c r="I47">
        <f>IFERROR('Data Sheet'!H58,0)</f>
        <v>13029.87</v>
      </c>
      <c r="J47">
        <f>IFERROR('Data Sheet'!I58,0)</f>
        <v>15430.44</v>
      </c>
      <c r="K47">
        <f>IFERROR('Data Sheet'!J58,0)</f>
        <v>18047.09</v>
      </c>
      <c r="L47">
        <f>IFERROR('Data Sheet'!K58,0)</f>
        <v>20777.02</v>
      </c>
    </row>
    <row r="48" spans="1:12" x14ac:dyDescent="0.25">
      <c r="B48" t="str">
        <f>IFERROR('Data Sheet'!A59,0)</f>
        <v>Borrowings</v>
      </c>
      <c r="C48">
        <f>IFERROR('Data Sheet'!B59,0)</f>
        <v>1192.3399999999999</v>
      </c>
      <c r="D48">
        <f>IFERROR('Data Sheet'!C59,0)</f>
        <v>1497.32</v>
      </c>
      <c r="E48">
        <f>IFERROR('Data Sheet'!D59,0)</f>
        <v>439.25</v>
      </c>
      <c r="F48">
        <f>IFERROR('Data Sheet'!E59,0)</f>
        <v>700.15</v>
      </c>
      <c r="G48">
        <f>IFERROR('Data Sheet'!F59,0)</f>
        <v>333.19</v>
      </c>
      <c r="H48">
        <f>IFERROR('Data Sheet'!G59,0)</f>
        <v>392.71</v>
      </c>
      <c r="I48">
        <f>IFERROR('Data Sheet'!H59,0)</f>
        <v>646.94000000000005</v>
      </c>
      <c r="J48">
        <f>IFERROR('Data Sheet'!I59,0)</f>
        <v>642.98</v>
      </c>
      <c r="K48">
        <f>IFERROR('Data Sheet'!J59,0)</f>
        <v>592.16</v>
      </c>
      <c r="L48">
        <f>IFERROR('Data Sheet'!K59,0)</f>
        <v>819.62</v>
      </c>
    </row>
    <row r="49" spans="2:12" x14ac:dyDescent="0.25">
      <c r="B49" t="str">
        <f>IFERROR('Data Sheet'!A60,0)</f>
        <v>Other Liabilities</v>
      </c>
      <c r="C49">
        <f>IFERROR('Data Sheet'!B60,0)</f>
        <v>388.78</v>
      </c>
      <c r="D49">
        <f>IFERROR('Data Sheet'!C60,0)</f>
        <v>480.18</v>
      </c>
      <c r="E49">
        <f>IFERROR('Data Sheet'!D60,0)</f>
        <v>539.91999999999996</v>
      </c>
      <c r="F49">
        <f>IFERROR('Data Sheet'!E60,0)</f>
        <v>717.9</v>
      </c>
      <c r="G49">
        <f>IFERROR('Data Sheet'!F60,0)</f>
        <v>663.23</v>
      </c>
      <c r="H49">
        <f>IFERROR('Data Sheet'!G60,0)</f>
        <v>1078.6300000000001</v>
      </c>
      <c r="I49">
        <f>IFERROR('Data Sheet'!H60,0)</f>
        <v>1146.4000000000001</v>
      </c>
      <c r="J49">
        <f>IFERROR('Data Sheet'!I60,0)</f>
        <v>1382.84</v>
      </c>
      <c r="K49">
        <f>IFERROR('Data Sheet'!J60,0)</f>
        <v>1882.5</v>
      </c>
      <c r="L49">
        <f>IFERROR('Data Sheet'!K60,0)</f>
        <v>2072.92</v>
      </c>
    </row>
    <row r="50" spans="2:12" x14ac:dyDescent="0.25">
      <c r="B50" s="13" t="s">
        <v>81</v>
      </c>
      <c r="C50" s="14">
        <f>IFERROR('Data Sheet'!B61,0)</f>
        <v>3101.56</v>
      </c>
      <c r="D50" s="14">
        <f>IFERROR('Data Sheet'!C61,0)</f>
        <v>5819.28</v>
      </c>
      <c r="E50" s="14">
        <f>IFERROR('Data Sheet'!D61,0)</f>
        <v>5648.22</v>
      </c>
      <c r="F50" s="14">
        <f>IFERROR('Data Sheet'!E61,0)</f>
        <v>7005.5</v>
      </c>
      <c r="G50" s="14">
        <f>IFERROR('Data Sheet'!F61,0)</f>
        <v>12076.16</v>
      </c>
      <c r="H50" s="14">
        <f>IFERROR('Data Sheet'!G61,0)</f>
        <v>13655.05</v>
      </c>
      <c r="I50" s="14">
        <f>IFERROR('Data Sheet'!H61,0)</f>
        <v>15470.98</v>
      </c>
      <c r="J50" s="14">
        <f>IFERROR('Data Sheet'!I61,0)</f>
        <v>18104.52</v>
      </c>
      <c r="K50" s="14">
        <f>IFERROR('Data Sheet'!J61,0)</f>
        <v>21172.48</v>
      </c>
      <c r="L50" s="14">
        <f>IFERROR('Data Sheet'!K61,0)</f>
        <v>24320.29</v>
      </c>
    </row>
    <row r="51" spans="2:12" x14ac:dyDescent="0.25">
      <c r="B51" s="13"/>
    </row>
    <row r="52" spans="2:12" x14ac:dyDescent="0.25">
      <c r="B52" t="str">
        <f>IFERROR('Data Sheet'!A62,0)</f>
        <v>Net Block</v>
      </c>
      <c r="C52">
        <f>IFERROR('Data Sheet'!B62,0)</f>
        <v>2093.52</v>
      </c>
      <c r="D52">
        <f>IFERROR('Data Sheet'!C62,0)</f>
        <v>2577.75</v>
      </c>
      <c r="E52">
        <f>IFERROR('Data Sheet'!D62,0)</f>
        <v>3399.97</v>
      </c>
      <c r="F52">
        <f>IFERROR('Data Sheet'!E62,0)</f>
        <v>4400.37</v>
      </c>
      <c r="G52">
        <f>IFERROR('Data Sheet'!F62,0)</f>
        <v>5948.03</v>
      </c>
      <c r="H52">
        <f>IFERROR('Data Sheet'!G62,0)</f>
        <v>7008.8</v>
      </c>
      <c r="I52">
        <f>IFERROR('Data Sheet'!H62,0)</f>
        <v>9260.02</v>
      </c>
      <c r="J52">
        <f>IFERROR('Data Sheet'!I62,0)</f>
        <v>11340.48</v>
      </c>
      <c r="K52">
        <f>IFERROR('Data Sheet'!J62,0)</f>
        <v>13415</v>
      </c>
      <c r="L52">
        <f>IFERROR('Data Sheet'!K62,0)</f>
        <v>16206.46</v>
      </c>
    </row>
    <row r="53" spans="2:12" x14ac:dyDescent="0.25">
      <c r="B53" t="str">
        <f>IFERROR('Data Sheet'!A63,0)</f>
        <v>Capital Work in Progress</v>
      </c>
      <c r="C53">
        <f>IFERROR('Data Sheet'!B63,0)</f>
        <v>81.69</v>
      </c>
      <c r="D53">
        <f>IFERROR('Data Sheet'!C63,0)</f>
        <v>152.88999999999999</v>
      </c>
      <c r="E53">
        <f>IFERROR('Data Sheet'!D63,0)</f>
        <v>147.07</v>
      </c>
      <c r="F53">
        <f>IFERROR('Data Sheet'!E63,0)</f>
        <v>376.84</v>
      </c>
      <c r="G53">
        <f>IFERROR('Data Sheet'!F63,0)</f>
        <v>364.4</v>
      </c>
      <c r="H53">
        <f>IFERROR('Data Sheet'!G63,0)</f>
        <v>1019.59</v>
      </c>
      <c r="I53">
        <f>IFERROR('Data Sheet'!H63,0)</f>
        <v>1129.3399999999999</v>
      </c>
      <c r="J53">
        <f>IFERROR('Data Sheet'!I63,0)</f>
        <v>829.16</v>
      </c>
      <c r="K53">
        <f>IFERROR('Data Sheet'!J63,0)</f>
        <v>935.22</v>
      </c>
      <c r="L53">
        <f>IFERROR('Data Sheet'!K63,0)</f>
        <v>1099.3499999999999</v>
      </c>
    </row>
    <row r="54" spans="2:12" x14ac:dyDescent="0.25">
      <c r="B54" t="str">
        <f>IFERROR('Data Sheet'!A64,0)</f>
        <v>Investments</v>
      </c>
      <c r="C54">
        <f>IFERROR('Data Sheet'!B64,0)</f>
        <v>29.33</v>
      </c>
      <c r="D54">
        <f>IFERROR('Data Sheet'!C64,0)</f>
        <v>25.69</v>
      </c>
      <c r="E54">
        <f>IFERROR('Data Sheet'!D64,0)</f>
        <v>68.180000000000007</v>
      </c>
      <c r="F54">
        <f>IFERROR('Data Sheet'!E64,0)</f>
        <v>16.53</v>
      </c>
      <c r="G54">
        <f>IFERROR('Data Sheet'!F64,0)</f>
        <v>14.68</v>
      </c>
      <c r="H54">
        <f>IFERROR('Data Sheet'!G64,0)</f>
        <v>2.95</v>
      </c>
      <c r="I54">
        <f>IFERROR('Data Sheet'!H64,0)</f>
        <v>5.94</v>
      </c>
      <c r="J54">
        <f>IFERROR('Data Sheet'!I64,0)</f>
        <v>202.2</v>
      </c>
      <c r="K54">
        <f>IFERROR('Data Sheet'!J64,0)</f>
        <v>106.67</v>
      </c>
      <c r="L54">
        <f>IFERROR('Data Sheet'!K64,0)</f>
        <v>3.26</v>
      </c>
    </row>
    <row r="55" spans="2:12" x14ac:dyDescent="0.25">
      <c r="B55" t="str">
        <f>IFERROR('Data Sheet'!A65,0)</f>
        <v>Other Assets</v>
      </c>
      <c r="C55">
        <f>IFERROR('Data Sheet'!B65-SUM('Data Sheet'!B67:B69),0)</f>
        <v>181.80999999999995</v>
      </c>
      <c r="D55">
        <f>IFERROR('Data Sheet'!C65-SUM('Data Sheet'!C67:C69),0)</f>
        <v>209.75999999999976</v>
      </c>
      <c r="E55">
        <f>IFERROR('Data Sheet'!D65-SUM('Data Sheet'!D67:D69),0)</f>
        <v>275.84999999999991</v>
      </c>
      <c r="F55">
        <f>IFERROR('Data Sheet'!E65-SUM('Data Sheet'!E67:E69),0)</f>
        <v>319.6700000000003</v>
      </c>
      <c r="G55">
        <f>IFERROR('Data Sheet'!F65-SUM('Data Sheet'!F67:F69),0)</f>
        <v>3674.2200000000003</v>
      </c>
      <c r="H55">
        <f>IFERROR('Data Sheet'!G65-SUM('Data Sheet'!G67:G69),0)</f>
        <v>1886.27</v>
      </c>
      <c r="I55">
        <f>IFERROR('Data Sheet'!H65-SUM('Data Sheet'!H67:H69),0)</f>
        <v>1967.5500000000006</v>
      </c>
      <c r="J55">
        <f>IFERROR('Data Sheet'!I65-SUM('Data Sheet'!I67:I69),0)</f>
        <v>1018.7100000000009</v>
      </c>
      <c r="K55">
        <f>IFERROR('Data Sheet'!J65-SUM('Data Sheet'!J67:J69),0)</f>
        <v>1983.7300000000005</v>
      </c>
      <c r="L55">
        <f>IFERROR('Data Sheet'!K65-SUM('Data Sheet'!K67:K69),0)</f>
        <v>1454.8600000000006</v>
      </c>
    </row>
    <row r="56" spans="2:12" x14ac:dyDescent="0.25">
      <c r="B56" s="14" t="s">
        <v>82</v>
      </c>
      <c r="C56" s="14">
        <f>IFERROR(SUM(C52:C55),0)</f>
        <v>2386.35</v>
      </c>
      <c r="D56" s="14">
        <f t="shared" ref="D56:L56" si="17">IFERROR(SUM(D52:D55),0)</f>
        <v>2966.0899999999997</v>
      </c>
      <c r="E56" s="14">
        <f t="shared" si="17"/>
        <v>3891.0699999999997</v>
      </c>
      <c r="F56" s="14">
        <f t="shared" si="17"/>
        <v>5113.41</v>
      </c>
      <c r="G56" s="14">
        <f t="shared" si="17"/>
        <v>10001.33</v>
      </c>
      <c r="H56" s="14">
        <f t="shared" si="17"/>
        <v>9917.61</v>
      </c>
      <c r="I56" s="14">
        <f t="shared" si="17"/>
        <v>12362.850000000002</v>
      </c>
      <c r="J56" s="14">
        <f t="shared" si="17"/>
        <v>13390.550000000001</v>
      </c>
      <c r="K56" s="14">
        <f t="shared" si="17"/>
        <v>16440.62</v>
      </c>
      <c r="L56" s="14">
        <f t="shared" si="17"/>
        <v>18763.929999999997</v>
      </c>
    </row>
    <row r="58" spans="2:12" x14ac:dyDescent="0.25">
      <c r="B58" t="str">
        <f>IFERROR('Data Sheet'!A67,0)</f>
        <v>Receivables</v>
      </c>
      <c r="C58">
        <f>IFERROR('Data Sheet'!B67,0)</f>
        <v>8.42</v>
      </c>
      <c r="D58">
        <f>IFERROR('Data Sheet'!C67,0)</f>
        <v>21</v>
      </c>
      <c r="E58">
        <f>IFERROR('Data Sheet'!D67,0)</f>
        <v>33.520000000000003</v>
      </c>
      <c r="F58">
        <f>IFERROR('Data Sheet'!E67,0)</f>
        <v>64.37</v>
      </c>
      <c r="G58">
        <f>IFERROR('Data Sheet'!F67,0)</f>
        <v>19.55</v>
      </c>
      <c r="H58">
        <f>IFERROR('Data Sheet'!G67,0)</f>
        <v>43.58</v>
      </c>
      <c r="I58">
        <f>IFERROR('Data Sheet'!H67,0)</f>
        <v>66.89</v>
      </c>
      <c r="J58">
        <f>IFERROR('Data Sheet'!I67,0)</f>
        <v>62.16</v>
      </c>
      <c r="K58">
        <f>IFERROR('Data Sheet'!J67,0)</f>
        <v>166.37</v>
      </c>
      <c r="L58">
        <f>IFERROR('Data Sheet'!K67,0)</f>
        <v>153.79</v>
      </c>
    </row>
    <row r="59" spans="2:12" x14ac:dyDescent="0.25">
      <c r="B59" t="str">
        <f>IFERROR('Data Sheet'!A68,0)</f>
        <v>Inventory</v>
      </c>
      <c r="C59">
        <f>IFERROR('Data Sheet'!B68,0)</f>
        <v>671.69</v>
      </c>
      <c r="D59">
        <f>IFERROR('Data Sheet'!C68,0)</f>
        <v>947.9</v>
      </c>
      <c r="E59">
        <f>IFERROR('Data Sheet'!D68,0)</f>
        <v>1163.45</v>
      </c>
      <c r="F59">
        <f>IFERROR('Data Sheet'!E68,0)</f>
        <v>1608.65</v>
      </c>
      <c r="G59">
        <f>IFERROR('Data Sheet'!F68,0)</f>
        <v>1947.4</v>
      </c>
      <c r="H59">
        <f>IFERROR('Data Sheet'!G68,0)</f>
        <v>2248.2800000000002</v>
      </c>
      <c r="I59">
        <f>IFERROR('Data Sheet'!H68,0)</f>
        <v>2742.66</v>
      </c>
      <c r="J59">
        <f>IFERROR('Data Sheet'!I68,0)</f>
        <v>3243.48</v>
      </c>
      <c r="K59">
        <f>IFERROR('Data Sheet'!J68,0)</f>
        <v>3927.31</v>
      </c>
      <c r="L59">
        <f>IFERROR('Data Sheet'!K68,0)</f>
        <v>5044.37</v>
      </c>
    </row>
    <row r="60" spans="2:12" x14ac:dyDescent="0.25">
      <c r="B60" t="str">
        <f>IFERROR('Data Sheet'!A69,0)</f>
        <v>Cash &amp; Bank</v>
      </c>
      <c r="C60">
        <f>IFERROR('Data Sheet'!B69,0)</f>
        <v>35.1</v>
      </c>
      <c r="D60">
        <f>IFERROR('Data Sheet'!C69,0)</f>
        <v>1884.29</v>
      </c>
      <c r="E60">
        <f>IFERROR('Data Sheet'!D69,0)</f>
        <v>560.17999999999995</v>
      </c>
      <c r="F60">
        <f>IFERROR('Data Sheet'!E69,0)</f>
        <v>219.07</v>
      </c>
      <c r="G60">
        <f>IFERROR('Data Sheet'!F69,0)</f>
        <v>107.88</v>
      </c>
      <c r="H60">
        <f>IFERROR('Data Sheet'!G69,0)</f>
        <v>1445.58</v>
      </c>
      <c r="I60">
        <f>IFERROR('Data Sheet'!H69,0)</f>
        <v>298.58</v>
      </c>
      <c r="J60">
        <f>IFERROR('Data Sheet'!I69,0)</f>
        <v>1408.33</v>
      </c>
      <c r="K60">
        <f>IFERROR('Data Sheet'!J69,0)</f>
        <v>638.17999999999995</v>
      </c>
      <c r="L60">
        <f>IFERROR('Data Sheet'!K69,0)</f>
        <v>358.2</v>
      </c>
    </row>
    <row r="61" spans="2:12" x14ac:dyDescent="0.25">
      <c r="B61" s="14" t="s">
        <v>83</v>
      </c>
      <c r="C61" s="14">
        <f>IFERROR(SUM(C58:C60),0)</f>
        <v>715.21</v>
      </c>
      <c r="D61" s="14">
        <f t="shared" ref="D61:L61" si="18">IFERROR(SUM(D58:D60),0)</f>
        <v>2853.19</v>
      </c>
      <c r="E61" s="14">
        <f t="shared" si="18"/>
        <v>1757.15</v>
      </c>
      <c r="F61" s="14">
        <f t="shared" si="18"/>
        <v>1892.09</v>
      </c>
      <c r="G61" s="14">
        <f t="shared" si="18"/>
        <v>2074.83</v>
      </c>
      <c r="H61" s="14">
        <f t="shared" si="18"/>
        <v>3737.44</v>
      </c>
      <c r="I61" s="14">
        <f t="shared" si="18"/>
        <v>3108.1299999999997</v>
      </c>
      <c r="J61" s="14">
        <f t="shared" si="18"/>
        <v>4713.9699999999993</v>
      </c>
      <c r="K61" s="14">
        <f t="shared" si="18"/>
        <v>4731.8599999999997</v>
      </c>
      <c r="L61" s="14">
        <f t="shared" si="18"/>
        <v>5556.36</v>
      </c>
    </row>
    <row r="63" spans="2:12" x14ac:dyDescent="0.25">
      <c r="B63" s="14" t="s">
        <v>84</v>
      </c>
      <c r="C63" s="14">
        <f>IFERROR(SUM(C56,C61),0)</f>
        <v>3101.56</v>
      </c>
      <c r="D63" s="14">
        <f t="shared" ref="D63:L63" si="19">IFERROR(SUM(D56,D61),0)</f>
        <v>5819.28</v>
      </c>
      <c r="E63" s="14">
        <f t="shared" si="19"/>
        <v>5648.2199999999993</v>
      </c>
      <c r="F63" s="14">
        <f t="shared" si="19"/>
        <v>7005.5</v>
      </c>
      <c r="G63" s="14">
        <f t="shared" si="19"/>
        <v>12076.16</v>
      </c>
      <c r="H63" s="14">
        <f t="shared" si="19"/>
        <v>13655.050000000001</v>
      </c>
      <c r="I63" s="14">
        <f t="shared" si="19"/>
        <v>15470.980000000001</v>
      </c>
      <c r="J63" s="14">
        <f t="shared" si="19"/>
        <v>18104.52</v>
      </c>
      <c r="K63" s="14">
        <f t="shared" si="19"/>
        <v>21172.48</v>
      </c>
      <c r="L63" s="14">
        <f t="shared" si="19"/>
        <v>24320.289999999997</v>
      </c>
    </row>
    <row r="65" spans="1:12" x14ac:dyDescent="0.25">
      <c r="B65" t="s">
        <v>85</v>
      </c>
      <c r="C65" t="b">
        <f>IFERROR(IF(C50=C63,TRUE,FALSE),0)</f>
        <v>1</v>
      </c>
      <c r="D65" t="b">
        <f t="shared" ref="D65:L65" si="20">IFERROR(IF(D50=D63,TRUE,FALSE),0)</f>
        <v>1</v>
      </c>
      <c r="E65" t="b">
        <f t="shared" si="20"/>
        <v>1</v>
      </c>
      <c r="F65" t="b">
        <f t="shared" si="20"/>
        <v>1</v>
      </c>
      <c r="G65" t="b">
        <f t="shared" si="20"/>
        <v>1</v>
      </c>
      <c r="H65" t="b">
        <f t="shared" si="20"/>
        <v>1</v>
      </c>
      <c r="I65" t="b">
        <f t="shared" si="20"/>
        <v>1</v>
      </c>
      <c r="J65" t="b">
        <f t="shared" si="20"/>
        <v>1</v>
      </c>
      <c r="K65" t="b">
        <f t="shared" si="20"/>
        <v>1</v>
      </c>
      <c r="L65" t="b">
        <f t="shared" si="20"/>
        <v>1</v>
      </c>
    </row>
    <row r="67" spans="1:12" x14ac:dyDescent="0.25">
      <c r="A67" t="s">
        <v>77</v>
      </c>
      <c r="B67" s="8" t="s">
        <v>86</v>
      </c>
      <c r="C67" s="8"/>
      <c r="D67" s="8"/>
      <c r="E67" s="8"/>
      <c r="F67" s="8"/>
      <c r="G67" s="8"/>
      <c r="H67" s="8"/>
      <c r="I67" s="8"/>
      <c r="J67" s="8"/>
      <c r="K67" s="8"/>
      <c r="L67" s="8"/>
    </row>
    <row r="68" spans="1:12" x14ac:dyDescent="0.25">
      <c r="B68" s="14" t="s">
        <v>115</v>
      </c>
    </row>
    <row r="69" spans="1:12" x14ac:dyDescent="0.25">
      <c r="B69" s="14" t="str">
        <f>IFERROR('Cash Flow Data'!A3,0)</f>
        <v>Profit from operations</v>
      </c>
      <c r="C69" s="14">
        <f>IFERROR('Cash Flow Data'!B3,0)</f>
        <v>7595</v>
      </c>
      <c r="D69" s="14">
        <f>IFERROR('Cash Flow Data'!C3,0)</f>
        <v>7911</v>
      </c>
      <c r="E69" s="14">
        <f>IFERROR('Cash Flow Data'!D3,0)</f>
        <v>10159</v>
      </c>
      <c r="F69" s="14">
        <f>IFERROR('Cash Flow Data'!E3,0)</f>
        <v>11112</v>
      </c>
      <c r="G69" s="14">
        <f>IFERROR('Cash Flow Data'!F3,0)</f>
        <v>7774</v>
      </c>
      <c r="H69" s="14">
        <f>IFERROR('Cash Flow Data'!G3,0)</f>
        <v>7588</v>
      </c>
      <c r="I69" s="14">
        <f>IFERROR('Cash Flow Data'!H3,0)</f>
        <v>10515</v>
      </c>
      <c r="J69" s="14">
        <f>IFERROR('Cash Flow Data'!I3,0)</f>
        <v>15642</v>
      </c>
      <c r="K69" s="14">
        <f>IFERROR('Cash Flow Data'!J3,0)</f>
        <v>17541</v>
      </c>
      <c r="L69" s="14">
        <f>IFERROR('Cash Flow Data'!K3,0)</f>
        <v>22050</v>
      </c>
    </row>
    <row r="70" spans="1:12" x14ac:dyDescent="0.25">
      <c r="B70" t="str">
        <f>IFERROR('Cash Flow Data'!A4,0)</f>
        <v>Receivables</v>
      </c>
      <c r="C70">
        <f>IFERROR('Cash Flow Data'!B4,0)</f>
        <v>177</v>
      </c>
      <c r="D70">
        <f>IFERROR('Cash Flow Data'!C4,0)</f>
        <v>-8609</v>
      </c>
      <c r="E70">
        <f>IFERROR('Cash Flow Data'!D4,0)</f>
        <v>-11918</v>
      </c>
      <c r="F70">
        <f>IFERROR('Cash Flow Data'!E4,0)</f>
        <v>-13712</v>
      </c>
      <c r="G70">
        <f>IFERROR('Cash Flow Data'!F4,0)</f>
        <v>-1516</v>
      </c>
      <c r="H70">
        <f>IFERROR('Cash Flow Data'!G4,0)</f>
        <v>4896</v>
      </c>
      <c r="I70">
        <f>IFERROR('Cash Flow Data'!H4,0)</f>
        <v>-2506</v>
      </c>
      <c r="J70">
        <f>IFERROR('Cash Flow Data'!I4,0)</f>
        <v>-21702</v>
      </c>
      <c r="K70">
        <f>IFERROR('Cash Flow Data'!J4,0)</f>
        <v>-21777</v>
      </c>
      <c r="L70">
        <f>IFERROR('Cash Flow Data'!K4,0)</f>
        <v>-3782</v>
      </c>
    </row>
    <row r="71" spans="1:12" x14ac:dyDescent="0.25">
      <c r="B71" t="str">
        <f>IFERROR('Cash Flow Data'!A5,0)</f>
        <v>Inventory</v>
      </c>
      <c r="C71">
        <f>IFERROR('Cash Flow Data'!B5,0)</f>
        <v>-1113</v>
      </c>
      <c r="D71">
        <f>IFERROR('Cash Flow Data'!C5,0)</f>
        <v>241</v>
      </c>
      <c r="E71">
        <f>IFERROR('Cash Flow Data'!D5,0)</f>
        <v>-256</v>
      </c>
      <c r="F71">
        <f>IFERROR('Cash Flow Data'!E5,0)</f>
        <v>-2276</v>
      </c>
      <c r="G71">
        <f>IFERROR('Cash Flow Data'!F5,0)</f>
        <v>1316</v>
      </c>
      <c r="H71">
        <f>IFERROR('Cash Flow Data'!G5,0)</f>
        <v>226</v>
      </c>
      <c r="I71">
        <f>IFERROR('Cash Flow Data'!H5,0)</f>
        <v>-2173</v>
      </c>
      <c r="J71">
        <f>IFERROR('Cash Flow Data'!I5,0)</f>
        <v>-5252</v>
      </c>
      <c r="K71">
        <f>IFERROR('Cash Flow Data'!J5,0)</f>
        <v>-1753</v>
      </c>
      <c r="L71">
        <f>IFERROR('Cash Flow Data'!K5,0)</f>
        <v>-1646</v>
      </c>
    </row>
    <row r="72" spans="1:12" x14ac:dyDescent="0.25">
      <c r="B72" t="str">
        <f>IFERROR('Cash Flow Data'!A6,0)</f>
        <v>Payables</v>
      </c>
      <c r="C72">
        <f>IFERROR('Cash Flow Data'!B6,0)</f>
        <v>1939</v>
      </c>
      <c r="D72">
        <f>IFERROR('Cash Flow Data'!C6,0)</f>
        <v>2645</v>
      </c>
      <c r="E72">
        <f>IFERROR('Cash Flow Data'!D6,0)</f>
        <v>5361</v>
      </c>
      <c r="F72">
        <f>IFERROR('Cash Flow Data'!E6,0)</f>
        <v>3466</v>
      </c>
      <c r="G72">
        <f>IFERROR('Cash Flow Data'!F6,0)</f>
        <v>-6775</v>
      </c>
      <c r="H72">
        <f>IFERROR('Cash Flow Data'!G6,0)</f>
        <v>7049</v>
      </c>
      <c r="I72">
        <f>IFERROR('Cash Flow Data'!H6,0)</f>
        <v>4972</v>
      </c>
      <c r="J72">
        <f>IFERROR('Cash Flow Data'!I6,0)</f>
        <v>7013</v>
      </c>
      <c r="K72">
        <f>IFERROR('Cash Flow Data'!J6,0)</f>
        <v>4354</v>
      </c>
      <c r="L72">
        <f>IFERROR('Cash Flow Data'!K6,0)</f>
        <v>8485</v>
      </c>
    </row>
    <row r="73" spans="1:12" x14ac:dyDescent="0.25">
      <c r="B73" t="str">
        <f>IFERROR('Cash Flow Data'!A7,0)</f>
        <v>Loans Advances</v>
      </c>
      <c r="C73">
        <f>IFERROR('Cash Flow Data'!B7,0)</f>
        <v>0</v>
      </c>
      <c r="D73">
        <f>IFERROR('Cash Flow Data'!C7,0)</f>
        <v>0</v>
      </c>
      <c r="E73">
        <f>IFERROR('Cash Flow Data'!D7,0)</f>
        <v>0</v>
      </c>
      <c r="F73">
        <f>IFERROR('Cash Flow Data'!E7,0)</f>
        <v>0</v>
      </c>
      <c r="G73">
        <f>IFERROR('Cash Flow Data'!F7,0)</f>
        <v>0</v>
      </c>
      <c r="H73">
        <f>IFERROR('Cash Flow Data'!G7,0)</f>
        <v>0</v>
      </c>
      <c r="I73">
        <f>IFERROR('Cash Flow Data'!H7,0)</f>
        <v>0</v>
      </c>
      <c r="J73">
        <f>IFERROR('Cash Flow Data'!I7,0)</f>
        <v>0</v>
      </c>
      <c r="K73">
        <f>IFERROR('Cash Flow Data'!J7,0)</f>
        <v>0</v>
      </c>
      <c r="L73">
        <f>IFERROR('Cash Flow Data'!K7,0)</f>
        <v>0</v>
      </c>
    </row>
    <row r="74" spans="1:12" x14ac:dyDescent="0.25">
      <c r="B74" t="str">
        <f>IFERROR('Cash Flow Data'!A8,0)</f>
        <v>Other WC items</v>
      </c>
      <c r="C74">
        <f>IFERROR('Cash Flow Data'!B8,0)</f>
        <v>-4241</v>
      </c>
      <c r="D74">
        <f>IFERROR('Cash Flow Data'!C8,0)</f>
        <v>0</v>
      </c>
      <c r="E74">
        <f>IFERROR('Cash Flow Data'!D8,0)</f>
        <v>0</v>
      </c>
      <c r="F74">
        <f>IFERROR('Cash Flow Data'!E8,0)</f>
        <v>0</v>
      </c>
      <c r="G74">
        <f>IFERROR('Cash Flow Data'!F8,0)</f>
        <v>0</v>
      </c>
      <c r="H74">
        <f>IFERROR('Cash Flow Data'!G8,0)</f>
        <v>0</v>
      </c>
      <c r="I74">
        <f>IFERROR('Cash Flow Data'!H8,0)</f>
        <v>0</v>
      </c>
      <c r="J74">
        <f>IFERROR('Cash Flow Data'!I8,0)</f>
        <v>0</v>
      </c>
      <c r="K74">
        <f>IFERROR('Cash Flow Data'!J8,0)</f>
        <v>0</v>
      </c>
      <c r="L74">
        <f>IFERROR('Cash Flow Data'!K8,0)</f>
        <v>-17170</v>
      </c>
    </row>
    <row r="75" spans="1:12" x14ac:dyDescent="0.25">
      <c r="B75" s="14" t="str">
        <f>IFERROR('Cash Flow Data'!A9,0)</f>
        <v>Working capital changes</v>
      </c>
      <c r="C75" s="14">
        <f>IFERROR('Cash Flow Data'!B9,0)</f>
        <v>-3238</v>
      </c>
      <c r="D75" s="14">
        <f>IFERROR('Cash Flow Data'!C9,0)</f>
        <v>-5724</v>
      </c>
      <c r="E75" s="14">
        <f>IFERROR('Cash Flow Data'!D9,0)</f>
        <v>-6813</v>
      </c>
      <c r="F75" s="14">
        <f>IFERROR('Cash Flow Data'!E9,0)</f>
        <v>-12522</v>
      </c>
      <c r="G75" s="14">
        <f>IFERROR('Cash Flow Data'!F9,0)</f>
        <v>-6974</v>
      </c>
      <c r="H75" s="14">
        <f>IFERROR('Cash Flow Data'!G9,0)</f>
        <v>12171</v>
      </c>
      <c r="I75" s="14">
        <f>IFERROR('Cash Flow Data'!H9,0)</f>
        <v>293</v>
      </c>
      <c r="J75" s="14">
        <f>IFERROR('Cash Flow Data'!I9,0)</f>
        <v>-19941</v>
      </c>
      <c r="K75" s="14">
        <f>IFERROR('Cash Flow Data'!J9,0)</f>
        <v>-19175</v>
      </c>
      <c r="L75" s="14">
        <f>IFERROR('Cash Flow Data'!K9,0)</f>
        <v>-14113</v>
      </c>
    </row>
    <row r="76" spans="1:12" x14ac:dyDescent="0.25">
      <c r="B76" s="14" t="str">
        <f>IFERROR('Cash Flow Data'!A10,0)</f>
        <v>Direct taxes</v>
      </c>
      <c r="C76" s="14">
        <f>IFERROR('Cash Flow Data'!B10,0)</f>
        <v>-1973</v>
      </c>
      <c r="D76" s="14">
        <f>IFERROR('Cash Flow Data'!C10,0)</f>
        <v>-2005</v>
      </c>
      <c r="E76" s="14">
        <f>IFERROR('Cash Flow Data'!D10,0)</f>
        <v>-2664</v>
      </c>
      <c r="F76" s="14">
        <f>IFERROR('Cash Flow Data'!E10,0)</f>
        <v>-2937</v>
      </c>
      <c r="G76" s="14">
        <f>IFERROR('Cash Flow Data'!F10,0)</f>
        <v>-2257</v>
      </c>
      <c r="H76" s="14">
        <f>IFERROR('Cash Flow Data'!G10,0)</f>
        <v>-1850</v>
      </c>
      <c r="I76" s="14">
        <f>IFERROR('Cash Flow Data'!H10,0)</f>
        <v>-1560</v>
      </c>
      <c r="J76" s="14">
        <f>IFERROR('Cash Flow Data'!I10,0)</f>
        <v>-2775</v>
      </c>
      <c r="K76" s="14">
        <f>IFERROR('Cash Flow Data'!J10,0)</f>
        <v>-3996</v>
      </c>
      <c r="L76" s="14">
        <f>IFERROR('Cash Flow Data'!K10,0)</f>
        <v>-4761</v>
      </c>
    </row>
    <row r="77" spans="1:12" x14ac:dyDescent="0.25">
      <c r="B77" s="33" t="s">
        <v>116</v>
      </c>
      <c r="C77" s="33">
        <f>IFERROR(SUM(C69,C75,C76),0)</f>
        <v>2384</v>
      </c>
      <c r="D77" s="33">
        <f t="shared" ref="D77:L77" si="21">IFERROR(SUM(D69,D75,D76),0)</f>
        <v>182</v>
      </c>
      <c r="E77" s="33">
        <f t="shared" si="21"/>
        <v>682</v>
      </c>
      <c r="F77" s="33">
        <f t="shared" si="21"/>
        <v>-4347</v>
      </c>
      <c r="G77" s="33">
        <f t="shared" si="21"/>
        <v>-1457</v>
      </c>
      <c r="H77" s="33">
        <f t="shared" si="21"/>
        <v>17909</v>
      </c>
      <c r="I77" s="33">
        <f t="shared" si="21"/>
        <v>9248</v>
      </c>
      <c r="J77" s="33">
        <f t="shared" si="21"/>
        <v>-7074</v>
      </c>
      <c r="K77" s="33">
        <f t="shared" si="21"/>
        <v>-5630</v>
      </c>
      <c r="L77" s="33">
        <f t="shared" si="21"/>
        <v>3176</v>
      </c>
    </row>
    <row r="78" spans="1:12" x14ac:dyDescent="0.25">
      <c r="B78" s="14"/>
      <c r="C78" s="14"/>
      <c r="D78" s="14"/>
      <c r="E78" s="14"/>
      <c r="F78" s="14"/>
      <c r="G78" s="14"/>
      <c r="H78" s="14"/>
      <c r="I78" s="14"/>
      <c r="J78" s="14"/>
      <c r="K78" s="14"/>
      <c r="L78" s="14"/>
    </row>
    <row r="79" spans="1:12" x14ac:dyDescent="0.25">
      <c r="B79" s="14" t="s">
        <v>117</v>
      </c>
    </row>
    <row r="80" spans="1:12" x14ac:dyDescent="0.25">
      <c r="B80" t="str">
        <f>IFERROR('Cash Flow Data'!A12,0)</f>
        <v>Fixed assets purchased</v>
      </c>
      <c r="C80">
        <f>IFERROR('Cash Flow Data'!B12,0)</f>
        <v>-4172</v>
      </c>
      <c r="D80">
        <f>IFERROR('Cash Flow Data'!C12,0)</f>
        <v>-5026</v>
      </c>
      <c r="E80">
        <f>IFERROR('Cash Flow Data'!D12,0)</f>
        <v>-5906</v>
      </c>
      <c r="F80">
        <f>IFERROR('Cash Flow Data'!E12,0)</f>
        <v>-7340</v>
      </c>
      <c r="G80">
        <f>IFERROR('Cash Flow Data'!F12,0)</f>
        <v>-6896</v>
      </c>
      <c r="H80">
        <f>IFERROR('Cash Flow Data'!G12,0)</f>
        <v>-5989</v>
      </c>
      <c r="I80">
        <f>IFERROR('Cash Flow Data'!H12,0)</f>
        <v>-6040</v>
      </c>
      <c r="J80">
        <f>IFERROR('Cash Flow Data'!I12,0)</f>
        <v>-6305</v>
      </c>
      <c r="K80">
        <f>IFERROR('Cash Flow Data'!J12,0)</f>
        <v>-9946</v>
      </c>
      <c r="L80">
        <f>IFERROR('Cash Flow Data'!K12,0)</f>
        <v>-10392</v>
      </c>
    </row>
    <row r="81" spans="2:12" x14ac:dyDescent="0.25">
      <c r="B81" t="str">
        <f>IFERROR('Cash Flow Data'!A13,0)</f>
        <v>Fixed assets sold</v>
      </c>
      <c r="C81">
        <f>IFERROR('Cash Flow Data'!B13,0)</f>
        <v>59</v>
      </c>
      <c r="D81">
        <f>IFERROR('Cash Flow Data'!C13,0)</f>
        <v>63</v>
      </c>
      <c r="E81">
        <f>IFERROR('Cash Flow Data'!D13,0)</f>
        <v>115</v>
      </c>
      <c r="F81">
        <f>IFERROR('Cash Flow Data'!E13,0)</f>
        <v>142</v>
      </c>
      <c r="G81">
        <f>IFERROR('Cash Flow Data'!F13,0)</f>
        <v>102</v>
      </c>
      <c r="H81">
        <f>IFERROR('Cash Flow Data'!G13,0)</f>
        <v>1364</v>
      </c>
      <c r="I81">
        <f>IFERROR('Cash Flow Data'!H13,0)</f>
        <v>120</v>
      </c>
      <c r="J81">
        <f>IFERROR('Cash Flow Data'!I13,0)</f>
        <v>138</v>
      </c>
      <c r="K81">
        <f>IFERROR('Cash Flow Data'!J13,0)</f>
        <v>273</v>
      </c>
      <c r="L81">
        <f>IFERROR('Cash Flow Data'!K13,0)</f>
        <v>583</v>
      </c>
    </row>
    <row r="82" spans="2:12" x14ac:dyDescent="0.25">
      <c r="B82" t="str">
        <f>IFERROR('Cash Flow Data'!A14,0)</f>
        <v>Investments purchased</v>
      </c>
      <c r="C82">
        <f>IFERROR('Cash Flow Data'!B14,0)</f>
        <v>-87898</v>
      </c>
      <c r="D82">
        <f>IFERROR('Cash Flow Data'!C14,0)</f>
        <v>-132173</v>
      </c>
      <c r="E82">
        <f>IFERROR('Cash Flow Data'!D14,0)</f>
        <v>-155159</v>
      </c>
      <c r="F82">
        <f>IFERROR('Cash Flow Data'!E14,0)</f>
        <v>-196474</v>
      </c>
      <c r="G82">
        <f>IFERROR('Cash Flow Data'!F14,0)</f>
        <v>-198568</v>
      </c>
      <c r="H82">
        <f>IFERROR('Cash Flow Data'!G14,0)</f>
        <v>-120055</v>
      </c>
      <c r="I82">
        <f>IFERROR('Cash Flow Data'!H14,0)</f>
        <v>-65421</v>
      </c>
      <c r="J82">
        <f>IFERROR('Cash Flow Data'!I14,0)</f>
        <v>-50165</v>
      </c>
      <c r="K82">
        <f>IFERROR('Cash Flow Data'!J14,0)</f>
        <v>-49927</v>
      </c>
      <c r="L82">
        <f>IFERROR('Cash Flow Data'!K14,0)</f>
        <v>-90595</v>
      </c>
    </row>
    <row r="83" spans="2:12" x14ac:dyDescent="0.25">
      <c r="B83" t="str">
        <f>IFERROR('Cash Flow Data'!A15,0)</f>
        <v>Investments sold</v>
      </c>
      <c r="C83">
        <f>IFERROR('Cash Flow Data'!B15,0)</f>
        <v>86436</v>
      </c>
      <c r="D83">
        <f>IFERROR('Cash Flow Data'!C15,0)</f>
        <v>130940</v>
      </c>
      <c r="E83">
        <f>IFERROR('Cash Flow Data'!D15,0)</f>
        <v>154631</v>
      </c>
      <c r="F83">
        <f>IFERROR('Cash Flow Data'!E15,0)</f>
        <v>195898</v>
      </c>
      <c r="G83">
        <f>IFERROR('Cash Flow Data'!F15,0)</f>
        <v>198132</v>
      </c>
      <c r="H83">
        <f>IFERROR('Cash Flow Data'!G15,0)</f>
        <v>111749</v>
      </c>
      <c r="I83">
        <f>IFERROR('Cash Flow Data'!H15,0)</f>
        <v>65127</v>
      </c>
      <c r="J83">
        <f>IFERROR('Cash Flow Data'!I15,0)</f>
        <v>46269</v>
      </c>
      <c r="K83">
        <f>IFERROR('Cash Flow Data'!J15,0)</f>
        <v>50919</v>
      </c>
      <c r="L83">
        <f>IFERROR('Cash Flow Data'!K15,0)</f>
        <v>85634</v>
      </c>
    </row>
    <row r="84" spans="2:12" x14ac:dyDescent="0.25">
      <c r="B84" t="str">
        <f>IFERROR('Cash Flow Data'!A16,0)</f>
        <v>Interest received</v>
      </c>
      <c r="C84">
        <f>IFERROR('Cash Flow Data'!B16,0)</f>
        <v>311</v>
      </c>
      <c r="D84">
        <f>IFERROR('Cash Flow Data'!C16,0)</f>
        <v>346</v>
      </c>
      <c r="E84">
        <f>IFERROR('Cash Flow Data'!D16,0)</f>
        <v>254</v>
      </c>
      <c r="F84">
        <f>IFERROR('Cash Flow Data'!E16,0)</f>
        <v>314</v>
      </c>
      <c r="G84">
        <f>IFERROR('Cash Flow Data'!F16,0)</f>
        <v>372</v>
      </c>
      <c r="H84">
        <f>IFERROR('Cash Flow Data'!G16,0)</f>
        <v>431</v>
      </c>
      <c r="I84">
        <f>IFERROR('Cash Flow Data'!H16,0)</f>
        <v>420</v>
      </c>
      <c r="J84">
        <f>IFERROR('Cash Flow Data'!I16,0)</f>
        <v>464</v>
      </c>
      <c r="K84">
        <f>IFERROR('Cash Flow Data'!J16,0)</f>
        <v>703</v>
      </c>
      <c r="L84">
        <f>IFERROR('Cash Flow Data'!K16,0)</f>
        <v>884</v>
      </c>
    </row>
    <row r="85" spans="2:12" x14ac:dyDescent="0.25">
      <c r="B85" t="str">
        <f>IFERROR('Cash Flow Data'!A17,0)</f>
        <v>Dividends received</v>
      </c>
      <c r="C85">
        <f>IFERROR('Cash Flow Data'!B17,0)</f>
        <v>208</v>
      </c>
      <c r="D85">
        <f>IFERROR('Cash Flow Data'!C17,0)</f>
        <v>409</v>
      </c>
      <c r="E85">
        <f>IFERROR('Cash Flow Data'!D17,0)</f>
        <v>316</v>
      </c>
      <c r="F85">
        <f>IFERROR('Cash Flow Data'!E17,0)</f>
        <v>466</v>
      </c>
      <c r="G85">
        <f>IFERROR('Cash Flow Data'!F17,0)</f>
        <v>722</v>
      </c>
      <c r="H85">
        <f>IFERROR('Cash Flow Data'!G17,0)</f>
        <v>577</v>
      </c>
      <c r="I85">
        <f>IFERROR('Cash Flow Data'!H17,0)</f>
        <v>1247</v>
      </c>
      <c r="J85">
        <f>IFERROR('Cash Flow Data'!I17,0)</f>
        <v>1397</v>
      </c>
      <c r="K85">
        <f>IFERROR('Cash Flow Data'!J17,0)</f>
        <v>1213</v>
      </c>
      <c r="L85">
        <f>IFERROR('Cash Flow Data'!K17,0)</f>
        <v>1374</v>
      </c>
    </row>
    <row r="86" spans="2:12" x14ac:dyDescent="0.25">
      <c r="B86" t="str">
        <f>IFERROR('Cash Flow Data'!A18,0)</f>
        <v>Investment in group cos</v>
      </c>
      <c r="C86">
        <f>IFERROR('Cash Flow Data'!B18,0)</f>
        <v>-147</v>
      </c>
      <c r="D86">
        <f>IFERROR('Cash Flow Data'!C18,0)</f>
        <v>-647</v>
      </c>
      <c r="E86">
        <f>IFERROR('Cash Flow Data'!D18,0)</f>
        <v>-704</v>
      </c>
      <c r="F86">
        <f>IFERROR('Cash Flow Data'!E18,0)</f>
        <v>-319</v>
      </c>
      <c r="G86">
        <f>IFERROR('Cash Flow Data'!F18,0)</f>
        <v>-418</v>
      </c>
      <c r="H86">
        <f>IFERROR('Cash Flow Data'!G18,0)</f>
        <v>-359</v>
      </c>
      <c r="I86">
        <f>IFERROR('Cash Flow Data'!H18,0)</f>
        <v>-222</v>
      </c>
      <c r="J86">
        <f>IFERROR('Cash Flow Data'!I18,0)</f>
        <v>-62</v>
      </c>
      <c r="K86">
        <f>IFERROR('Cash Flow Data'!J18,0)</f>
        <v>-249</v>
      </c>
      <c r="L86">
        <f>IFERROR('Cash Flow Data'!K18,0)</f>
        <v>-29</v>
      </c>
    </row>
    <row r="87" spans="2:12" x14ac:dyDescent="0.25">
      <c r="B87" t="str">
        <f>IFERROR('Cash Flow Data'!A19,0)</f>
        <v>Issue of shares on acq</v>
      </c>
      <c r="C87">
        <f>IFERROR('Cash Flow Data'!B19,0)</f>
        <v>0</v>
      </c>
      <c r="D87">
        <f>IFERROR('Cash Flow Data'!C19,0)</f>
        <v>0</v>
      </c>
      <c r="E87">
        <f>IFERROR('Cash Flow Data'!D19,0)</f>
        <v>0</v>
      </c>
      <c r="F87">
        <f>IFERROR('Cash Flow Data'!E19,0)</f>
        <v>0</v>
      </c>
      <c r="G87">
        <f>IFERROR('Cash Flow Data'!F19,0)</f>
        <v>0</v>
      </c>
      <c r="H87">
        <f>IFERROR('Cash Flow Data'!G19,0)</f>
        <v>0</v>
      </c>
      <c r="I87">
        <f>IFERROR('Cash Flow Data'!H19,0)</f>
        <v>0</v>
      </c>
      <c r="J87">
        <f>IFERROR('Cash Flow Data'!I19,0)</f>
        <v>0</v>
      </c>
      <c r="K87">
        <f>IFERROR('Cash Flow Data'!J19,0)</f>
        <v>0</v>
      </c>
      <c r="L87">
        <f>IFERROR('Cash Flow Data'!K19,0)</f>
        <v>0</v>
      </c>
    </row>
    <row r="88" spans="2:12" x14ac:dyDescent="0.25">
      <c r="B88" t="str">
        <f>IFERROR('Cash Flow Data'!A20,0)</f>
        <v>Redemp n Canc of Shares</v>
      </c>
      <c r="C88">
        <f>IFERROR('Cash Flow Data'!B20,0)</f>
        <v>0</v>
      </c>
      <c r="D88">
        <f>IFERROR('Cash Flow Data'!C20,0)</f>
        <v>88</v>
      </c>
      <c r="E88">
        <f>IFERROR('Cash Flow Data'!D20,0)</f>
        <v>1677</v>
      </c>
      <c r="F88">
        <f>IFERROR('Cash Flow Data'!E20,0)</f>
        <v>717</v>
      </c>
      <c r="G88">
        <f>IFERROR('Cash Flow Data'!F20,0)</f>
        <v>175</v>
      </c>
      <c r="H88">
        <f>IFERROR('Cash Flow Data'!G20,0)</f>
        <v>316</v>
      </c>
      <c r="I88">
        <f>IFERROR('Cash Flow Data'!H20,0)</f>
        <v>617</v>
      </c>
      <c r="J88">
        <f>IFERROR('Cash Flow Data'!I20,0)</f>
        <v>1863</v>
      </c>
      <c r="K88">
        <f>IFERROR('Cash Flow Data'!J20,0)</f>
        <v>1043</v>
      </c>
      <c r="L88">
        <f>IFERROR('Cash Flow Data'!K20,0)</f>
        <v>0</v>
      </c>
    </row>
    <row r="89" spans="2:12" x14ac:dyDescent="0.25">
      <c r="B89" t="str">
        <f>IFERROR('Cash Flow Data'!A21,0)</f>
        <v>Acquisition of companies</v>
      </c>
      <c r="C89">
        <f>IFERROR('Cash Flow Data'!B21,0)</f>
        <v>-208</v>
      </c>
      <c r="D89">
        <f>IFERROR('Cash Flow Data'!C21,0)</f>
        <v>-83</v>
      </c>
      <c r="E89">
        <f>IFERROR('Cash Flow Data'!D21,0)</f>
        <v>-401</v>
      </c>
      <c r="F89">
        <f>IFERROR('Cash Flow Data'!E21,0)</f>
        <v>0</v>
      </c>
      <c r="G89">
        <f>IFERROR('Cash Flow Data'!F21,0)</f>
        <v>-59</v>
      </c>
      <c r="H89">
        <f>IFERROR('Cash Flow Data'!G21,0)</f>
        <v>0</v>
      </c>
      <c r="I89">
        <f>IFERROR('Cash Flow Data'!H21,0)</f>
        <v>-42</v>
      </c>
      <c r="J89">
        <f>IFERROR('Cash Flow Data'!I21,0)</f>
        <v>-587</v>
      </c>
      <c r="K89">
        <f>IFERROR('Cash Flow Data'!J21,0)</f>
        <v>-53</v>
      </c>
      <c r="L89">
        <f>IFERROR('Cash Flow Data'!K21,0)</f>
        <v>0</v>
      </c>
    </row>
    <row r="90" spans="2:12" x14ac:dyDescent="0.25">
      <c r="B90" t="str">
        <f>IFERROR('Cash Flow Data'!A22,0)</f>
        <v>Inter corporate deposits</v>
      </c>
      <c r="C90">
        <f>IFERROR('Cash Flow Data'!B22,0)</f>
        <v>0</v>
      </c>
      <c r="D90">
        <f>IFERROR('Cash Flow Data'!C22,0)</f>
        <v>0</v>
      </c>
      <c r="E90">
        <f>IFERROR('Cash Flow Data'!D22,0)</f>
        <v>0</v>
      </c>
      <c r="F90">
        <f>IFERROR('Cash Flow Data'!E22,0)</f>
        <v>0</v>
      </c>
      <c r="G90">
        <f>IFERROR('Cash Flow Data'!F22,0)</f>
        <v>6</v>
      </c>
      <c r="H90">
        <f>IFERROR('Cash Flow Data'!G22,0)</f>
        <v>-262</v>
      </c>
      <c r="I90">
        <f>IFERROR('Cash Flow Data'!H22,0)</f>
        <v>-552</v>
      </c>
      <c r="J90">
        <f>IFERROR('Cash Flow Data'!I22,0)</f>
        <v>-93</v>
      </c>
      <c r="K90">
        <f>IFERROR('Cash Flow Data'!J22,0)</f>
        <v>485</v>
      </c>
      <c r="L90">
        <f>IFERROR('Cash Flow Data'!K22,0)</f>
        <v>0</v>
      </c>
    </row>
    <row r="91" spans="2:12" x14ac:dyDescent="0.25">
      <c r="B91" t="str">
        <f>IFERROR('Cash Flow Data'!A23,0)</f>
        <v>Other investing items</v>
      </c>
      <c r="C91">
        <f>IFERROR('Cash Flow Data'!B23,0)</f>
        <v>-94</v>
      </c>
      <c r="D91">
        <f>IFERROR('Cash Flow Data'!C23,0)</f>
        <v>209</v>
      </c>
      <c r="E91">
        <f>IFERROR('Cash Flow Data'!D23,0)</f>
        <v>-290</v>
      </c>
      <c r="F91">
        <f>IFERROR('Cash Flow Data'!E23,0)</f>
        <v>-577</v>
      </c>
      <c r="G91">
        <f>IFERROR('Cash Flow Data'!F23,0)</f>
        <v>-437</v>
      </c>
      <c r="H91">
        <f>IFERROR('Cash Flow Data'!G23,0)</f>
        <v>-7457</v>
      </c>
      <c r="I91">
        <f>IFERROR('Cash Flow Data'!H23,0)</f>
        <v>1494</v>
      </c>
      <c r="J91">
        <f>IFERROR('Cash Flow Data'!I23,0)</f>
        <v>-1786</v>
      </c>
      <c r="K91">
        <f>IFERROR('Cash Flow Data'!J23,0)</f>
        <v>-78</v>
      </c>
      <c r="L91">
        <f>IFERROR('Cash Flow Data'!K23,0)</f>
        <v>-6085</v>
      </c>
    </row>
    <row r="92" spans="2:12" x14ac:dyDescent="0.25">
      <c r="B92" s="33" t="s">
        <v>118</v>
      </c>
      <c r="C92" s="33">
        <f>IFERROR(SUM(C80:C91),0)</f>
        <v>-5505</v>
      </c>
      <c r="D92" s="33">
        <f t="shared" ref="D92:L92" si="22">IFERROR(SUM(D80:D91),0)</f>
        <v>-5874</v>
      </c>
      <c r="E92" s="33">
        <f t="shared" si="22"/>
        <v>-5467</v>
      </c>
      <c r="F92" s="33">
        <f t="shared" si="22"/>
        <v>-7173</v>
      </c>
      <c r="G92" s="33">
        <f t="shared" si="22"/>
        <v>-6869</v>
      </c>
      <c r="H92" s="33">
        <f t="shared" si="22"/>
        <v>-19685</v>
      </c>
      <c r="I92" s="33">
        <f t="shared" si="22"/>
        <v>-3252</v>
      </c>
      <c r="J92" s="33">
        <f t="shared" si="22"/>
        <v>-8867</v>
      </c>
      <c r="K92" s="33">
        <f t="shared" si="22"/>
        <v>-5617</v>
      </c>
      <c r="L92" s="33">
        <f t="shared" si="22"/>
        <v>-18626</v>
      </c>
    </row>
    <row r="93" spans="2:12" x14ac:dyDescent="0.25">
      <c r="B93" s="14"/>
    </row>
    <row r="94" spans="2:12" x14ac:dyDescent="0.25">
      <c r="B94" s="14" t="s">
        <v>119</v>
      </c>
    </row>
    <row r="95" spans="2:12" x14ac:dyDescent="0.25">
      <c r="B95" t="str">
        <f>IFERROR('Cash Flow Data'!A25,0)</f>
        <v>Proceeds from shares</v>
      </c>
      <c r="C95">
        <f>IFERROR('Cash Flow Data'!B25,0)</f>
        <v>18</v>
      </c>
      <c r="D95">
        <f>IFERROR('Cash Flow Data'!C25,0)</f>
        <v>12</v>
      </c>
      <c r="E95">
        <f>IFERROR('Cash Flow Data'!D25,0)</f>
        <v>4</v>
      </c>
      <c r="F95">
        <f>IFERROR('Cash Flow Data'!E25,0)</f>
        <v>1</v>
      </c>
      <c r="G95">
        <f>IFERROR('Cash Flow Data'!F25,0)</f>
        <v>1243</v>
      </c>
      <c r="H95">
        <f>IFERROR('Cash Flow Data'!G25,0)</f>
        <v>1</v>
      </c>
      <c r="I95">
        <f>IFERROR('Cash Flow Data'!H25,0)</f>
        <v>1</v>
      </c>
      <c r="J95">
        <f>IFERROR('Cash Flow Data'!I25,0)</f>
        <v>1</v>
      </c>
      <c r="K95">
        <f>IFERROR('Cash Flow Data'!J25,0)</f>
        <v>1</v>
      </c>
      <c r="L95">
        <f>IFERROR('Cash Flow Data'!K25,0)</f>
        <v>1</v>
      </c>
    </row>
    <row r="96" spans="2:12" x14ac:dyDescent="0.25">
      <c r="B96" t="str">
        <f>IFERROR('Cash Flow Data'!A26,0)</f>
        <v>Proceeds from borrowings</v>
      </c>
      <c r="C96">
        <f>IFERROR('Cash Flow Data'!B26,0)</f>
        <v>0</v>
      </c>
      <c r="D96">
        <f>IFERROR('Cash Flow Data'!C26,0)</f>
        <v>0</v>
      </c>
      <c r="E96">
        <f>IFERROR('Cash Flow Data'!D26,0)</f>
        <v>0</v>
      </c>
      <c r="F96">
        <f>IFERROR('Cash Flow Data'!E26,0)</f>
        <v>71389</v>
      </c>
      <c r="G96">
        <f>IFERROR('Cash Flow Data'!F26,0)</f>
        <v>52618</v>
      </c>
      <c r="H96">
        <f>IFERROR('Cash Flow Data'!G26,0)</f>
        <v>38100</v>
      </c>
      <c r="I96">
        <f>IFERROR('Cash Flow Data'!H26,0)</f>
        <v>53880</v>
      </c>
      <c r="J96">
        <f>IFERROR('Cash Flow Data'!I26,0)</f>
        <v>55622</v>
      </c>
      <c r="K96">
        <f>IFERROR('Cash Flow Data'!J26,0)</f>
        <v>61308</v>
      </c>
      <c r="L96">
        <f>IFERROR('Cash Flow Data'!K26,0)</f>
        <v>84640</v>
      </c>
    </row>
    <row r="97" spans="2:12" x14ac:dyDescent="0.25">
      <c r="B97" t="str">
        <f>IFERROR('Cash Flow Data'!A27,0)</f>
        <v>Repayment of borrowings</v>
      </c>
      <c r="C97">
        <f>IFERROR('Cash Flow Data'!B27,0)</f>
        <v>0</v>
      </c>
      <c r="D97">
        <f>IFERROR('Cash Flow Data'!C27,0)</f>
        <v>0</v>
      </c>
      <c r="E97">
        <f>IFERROR('Cash Flow Data'!D27,0)</f>
        <v>0</v>
      </c>
      <c r="F97">
        <f>IFERROR('Cash Flow Data'!E27,0)</f>
        <v>-56352</v>
      </c>
      <c r="G97">
        <f>IFERROR('Cash Flow Data'!F27,0)</f>
        <v>-44044</v>
      </c>
      <c r="H97">
        <f>IFERROR('Cash Flow Data'!G27,0)</f>
        <v>-37505</v>
      </c>
      <c r="I97">
        <f>IFERROR('Cash Flow Data'!H27,0)</f>
        <v>-57223</v>
      </c>
      <c r="J97">
        <f>IFERROR('Cash Flow Data'!I27,0)</f>
        <v>-37056</v>
      </c>
      <c r="K97">
        <f>IFERROR('Cash Flow Data'!J27,0)</f>
        <v>-46805</v>
      </c>
      <c r="L97">
        <f>IFERROR('Cash Flow Data'!K27,0)</f>
        <v>-64227</v>
      </c>
    </row>
    <row r="98" spans="2:12" x14ac:dyDescent="0.25">
      <c r="B98" t="str">
        <f>IFERROR('Cash Flow Data'!A28,0)</f>
        <v>Interest paid fin</v>
      </c>
      <c r="C98">
        <f>IFERROR('Cash Flow Data'!B28,0)</f>
        <v>-443</v>
      </c>
      <c r="D98">
        <f>IFERROR('Cash Flow Data'!C28,0)</f>
        <v>-471</v>
      </c>
      <c r="E98">
        <f>IFERROR('Cash Flow Data'!D28,0)</f>
        <v>-521</v>
      </c>
      <c r="F98">
        <f>IFERROR('Cash Flow Data'!E28,0)</f>
        <v>-723</v>
      </c>
      <c r="G98">
        <f>IFERROR('Cash Flow Data'!F28,0)</f>
        <v>-624</v>
      </c>
      <c r="H98">
        <f>IFERROR('Cash Flow Data'!G28,0)</f>
        <v>-809</v>
      </c>
      <c r="I98">
        <f>IFERROR('Cash Flow Data'!H28,0)</f>
        <v>-680</v>
      </c>
      <c r="J98">
        <f>IFERROR('Cash Flow Data'!I28,0)</f>
        <v>-734</v>
      </c>
      <c r="K98">
        <f>IFERROR('Cash Flow Data'!J28,0)</f>
        <v>-597</v>
      </c>
      <c r="L98">
        <f>IFERROR('Cash Flow Data'!K28,0)</f>
        <v>-436</v>
      </c>
    </row>
    <row r="99" spans="2:12" x14ac:dyDescent="0.25">
      <c r="B99" t="str">
        <f>IFERROR('Cash Flow Data'!A29,0)</f>
        <v>Dividends paid</v>
      </c>
      <c r="C99">
        <f>IFERROR('Cash Flow Data'!B29,0)</f>
        <v>-932</v>
      </c>
      <c r="D99">
        <f>IFERROR('Cash Flow Data'!C29,0)</f>
        <v>-936</v>
      </c>
      <c r="E99">
        <f>IFERROR('Cash Flow Data'!D29,0)</f>
        <v>-963</v>
      </c>
      <c r="F99">
        <f>IFERROR('Cash Flow Data'!E29,0)</f>
        <v>-1134</v>
      </c>
      <c r="G99">
        <f>IFERROR('Cash Flow Data'!F29,0)</f>
        <v>-1398</v>
      </c>
      <c r="H99">
        <f>IFERROR('Cash Flow Data'!G29,0)</f>
        <v>-271</v>
      </c>
      <c r="I99">
        <f>IFERROR('Cash Flow Data'!H29,0)</f>
        <v>-1037</v>
      </c>
      <c r="J99">
        <f>IFERROR('Cash Flow Data'!I29,0)</f>
        <v>-1522</v>
      </c>
      <c r="K99">
        <f>IFERROR('Cash Flow Data'!J29,0)</f>
        <v>-2247</v>
      </c>
      <c r="L99">
        <f>IFERROR('Cash Flow Data'!K29,0)</f>
        <v>-2806</v>
      </c>
    </row>
    <row r="100" spans="2:12" x14ac:dyDescent="0.25">
      <c r="B100" t="str">
        <f>IFERROR('Cash Flow Data'!A30,0)</f>
        <v>Financial liabilities</v>
      </c>
      <c r="C100">
        <f>IFERROR('Cash Flow Data'!B30,0)</f>
        <v>0</v>
      </c>
      <c r="D100">
        <f>IFERROR('Cash Flow Data'!C30,0)</f>
        <v>0</v>
      </c>
      <c r="E100">
        <f>IFERROR('Cash Flow Data'!D30,0)</f>
        <v>0</v>
      </c>
      <c r="F100">
        <f>IFERROR('Cash Flow Data'!E30,0)</f>
        <v>0</v>
      </c>
      <c r="G100">
        <f>IFERROR('Cash Flow Data'!F30,0)</f>
        <v>-558</v>
      </c>
      <c r="H100">
        <f>IFERROR('Cash Flow Data'!G30,0)</f>
        <v>-553</v>
      </c>
      <c r="I100">
        <f>IFERROR('Cash Flow Data'!H30,0)</f>
        <v>-583</v>
      </c>
      <c r="J100">
        <f>IFERROR('Cash Flow Data'!I30,0)</f>
        <v>-751</v>
      </c>
      <c r="K100">
        <f>IFERROR('Cash Flow Data'!J30,0)</f>
        <v>-786</v>
      </c>
      <c r="L100">
        <f>IFERROR('Cash Flow Data'!K30,0)</f>
        <v>-1774</v>
      </c>
    </row>
    <row r="101" spans="2:12" x14ac:dyDescent="0.25">
      <c r="B101" t="str">
        <f>IFERROR('Cash Flow Data'!A31,0)</f>
        <v>Other financing items</v>
      </c>
      <c r="C101">
        <f>IFERROR('Cash Flow Data'!B31,0)</f>
        <v>4324</v>
      </c>
      <c r="D101">
        <f>IFERROR('Cash Flow Data'!C31,0)</f>
        <v>7503</v>
      </c>
      <c r="E101">
        <f>IFERROR('Cash Flow Data'!D31,0)</f>
        <v>7794</v>
      </c>
      <c r="F101">
        <f>IFERROR('Cash Flow Data'!E31,0)</f>
        <v>12</v>
      </c>
      <c r="G101">
        <f>IFERROR('Cash Flow Data'!F31,0)</f>
        <v>-304</v>
      </c>
      <c r="H101">
        <f>IFERROR('Cash Flow Data'!G31,0)</f>
        <v>1444</v>
      </c>
      <c r="I101">
        <f>IFERROR('Cash Flow Data'!H31,0)</f>
        <v>-240</v>
      </c>
      <c r="J101">
        <f>IFERROR('Cash Flow Data'!I31,0)</f>
        <v>386</v>
      </c>
      <c r="K101">
        <f>IFERROR('Cash Flow Data'!J31,0)</f>
        <v>1408</v>
      </c>
      <c r="L101">
        <f>IFERROR('Cash Flow Data'!K31,0)</f>
        <v>437</v>
      </c>
    </row>
    <row r="102" spans="2:12" x14ac:dyDescent="0.25">
      <c r="B102" s="33" t="s">
        <v>120</v>
      </c>
      <c r="C102" s="33">
        <f>IFERROR(SUM(C95:C101),0)</f>
        <v>2967</v>
      </c>
      <c r="D102" s="33">
        <f t="shared" ref="D102:L102" si="23">IFERROR(SUM(D95:D101),0)</f>
        <v>6108</v>
      </c>
      <c r="E102" s="33">
        <f t="shared" si="23"/>
        <v>6314</v>
      </c>
      <c r="F102" s="33">
        <f t="shared" si="23"/>
        <v>13193</v>
      </c>
      <c r="G102" s="33">
        <f t="shared" si="23"/>
        <v>6933</v>
      </c>
      <c r="H102" s="33">
        <f t="shared" si="23"/>
        <v>407</v>
      </c>
      <c r="I102" s="33">
        <f t="shared" si="23"/>
        <v>-5882</v>
      </c>
      <c r="J102" s="33">
        <f t="shared" si="23"/>
        <v>15946</v>
      </c>
      <c r="K102" s="33">
        <f t="shared" si="23"/>
        <v>12282</v>
      </c>
      <c r="L102" s="33">
        <f t="shared" si="23"/>
        <v>15835</v>
      </c>
    </row>
    <row r="104" spans="2:12" x14ac:dyDescent="0.25">
      <c r="B104" s="14" t="str">
        <f>IFERROR('Cash Flow Data'!A32,0)</f>
        <v>Net Cash Flow</v>
      </c>
      <c r="C104" s="14">
        <f>IFERROR('Cash Flow Data'!B32,0)</f>
        <v>-154</v>
      </c>
      <c r="D104" s="14">
        <f>IFERROR('Cash Flow Data'!C32,0)</f>
        <v>416</v>
      </c>
      <c r="E104" s="14">
        <f>IFERROR('Cash Flow Data'!D32,0)</f>
        <v>1529</v>
      </c>
      <c r="F104" s="14">
        <f>IFERROR('Cash Flow Data'!E32,0)</f>
        <v>1672</v>
      </c>
      <c r="G104" s="14">
        <f>IFERROR('Cash Flow Data'!F32,0)</f>
        <v>-1394</v>
      </c>
      <c r="H104" s="14">
        <f>IFERROR('Cash Flow Data'!G32,0)</f>
        <v>-1370</v>
      </c>
      <c r="I104" s="14">
        <f>IFERROR('Cash Flow Data'!H32,0)</f>
        <v>113</v>
      </c>
      <c r="J104" s="14">
        <f>IFERROR('Cash Flow Data'!I32,0)</f>
        <v>6</v>
      </c>
      <c r="K104" s="14">
        <f>IFERROR('Cash Flow Data'!J32,0)</f>
        <v>1037</v>
      </c>
      <c r="L104" s="14">
        <f>IFERROR('Cash Flow Data'!K32,0)</f>
        <v>384</v>
      </c>
    </row>
  </sheetData>
  <mergeCells count="1">
    <mergeCell ref="B2:M2"/>
  </mergeCell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105"/>
  <sheetViews>
    <sheetView showGridLines="0" tabSelected="1" topLeftCell="A61" zoomScale="77" zoomScaleNormal="77" workbookViewId="0">
      <selection activeCell="K76" sqref="K76"/>
    </sheetView>
  </sheetViews>
  <sheetFormatPr defaultRowHeight="15" x14ac:dyDescent="0.25"/>
  <cols>
    <col min="1" max="1" width="2.85546875" customWidth="1"/>
    <col min="2" max="2" width="51.28515625" bestFit="1" customWidth="1"/>
    <col min="3" max="9" width="9" bestFit="1" customWidth="1"/>
  </cols>
  <sheetData>
    <row r="1" spans="2:9" x14ac:dyDescent="0.25">
      <c r="B1" s="37"/>
      <c r="C1" s="37"/>
      <c r="D1" s="37"/>
      <c r="E1" s="37"/>
      <c r="F1" s="37"/>
      <c r="G1" s="37"/>
      <c r="H1" s="37"/>
      <c r="I1" s="37"/>
    </row>
    <row r="3" spans="2:9" ht="28.5" x14ac:dyDescent="0.45">
      <c r="B3" s="38" t="str">
        <f>'[1]Data Sheet'!B1</f>
        <v>AVENUE SUPERMARTS LTD</v>
      </c>
    </row>
    <row r="4" spans="2:9" x14ac:dyDescent="0.25">
      <c r="B4" s="39" t="s">
        <v>136</v>
      </c>
    </row>
    <row r="5" spans="2:9" ht="18.75" x14ac:dyDescent="0.3">
      <c r="B5" s="40">
        <f>'Data Sheet'!B8</f>
        <v>4372.3</v>
      </c>
    </row>
    <row r="6" spans="2:9" x14ac:dyDescent="0.25">
      <c r="B6" s="39" t="s">
        <v>137</v>
      </c>
    </row>
    <row r="7" spans="2:9" ht="15.75" thickBot="1" x14ac:dyDescent="0.3">
      <c r="B7" s="41"/>
      <c r="C7" s="41"/>
      <c r="D7" s="41"/>
      <c r="E7" s="41"/>
      <c r="F7" s="41"/>
      <c r="G7" s="41"/>
      <c r="H7" s="41"/>
      <c r="I7" s="41"/>
    </row>
    <row r="8" spans="2:9" ht="18.75" x14ac:dyDescent="0.3">
      <c r="B8" s="42" t="s">
        <v>121</v>
      </c>
    </row>
    <row r="9" spans="2:9" x14ac:dyDescent="0.25">
      <c r="B9" s="43" t="s">
        <v>138</v>
      </c>
      <c r="C9" s="43"/>
      <c r="D9" s="43"/>
      <c r="E9" s="43"/>
      <c r="F9" s="43"/>
      <c r="G9" s="43"/>
      <c r="H9" s="43"/>
      <c r="I9" s="43"/>
    </row>
    <row r="10" spans="2:9" x14ac:dyDescent="0.25">
      <c r="B10" s="43"/>
      <c r="C10" s="43"/>
      <c r="D10" s="43"/>
      <c r="E10" s="43"/>
      <c r="F10" s="43"/>
      <c r="G10" s="43"/>
      <c r="H10" s="43"/>
      <c r="I10" s="43"/>
    </row>
    <row r="11" spans="2:9" x14ac:dyDescent="0.25">
      <c r="B11" s="43"/>
      <c r="C11" s="43"/>
      <c r="D11" s="43"/>
      <c r="E11" s="43"/>
      <c r="F11" s="43"/>
      <c r="G11" s="43"/>
      <c r="H11" s="43"/>
      <c r="I11" s="43"/>
    </row>
    <row r="12" spans="2:9" x14ac:dyDescent="0.25">
      <c r="B12" s="43"/>
      <c r="C12" s="43"/>
      <c r="D12" s="43"/>
      <c r="E12" s="43"/>
      <c r="F12" s="43"/>
      <c r="G12" s="43"/>
      <c r="H12" s="43"/>
      <c r="I12" s="43"/>
    </row>
    <row r="13" spans="2:9" x14ac:dyDescent="0.25">
      <c r="B13" s="44"/>
      <c r="C13" s="44"/>
      <c r="D13" s="44"/>
      <c r="E13" s="44"/>
      <c r="F13" s="44"/>
      <c r="G13" s="44"/>
      <c r="H13" s="44"/>
      <c r="I13" s="44"/>
    </row>
    <row r="14" spans="2:9" ht="18.75" x14ac:dyDescent="0.3">
      <c r="B14" s="42" t="s">
        <v>122</v>
      </c>
      <c r="C14" s="44"/>
      <c r="D14" s="44"/>
      <c r="E14" s="44"/>
      <c r="F14" s="44"/>
      <c r="G14" s="44"/>
      <c r="H14" s="44"/>
      <c r="I14" s="44"/>
    </row>
    <row r="15" spans="2:9" x14ac:dyDescent="0.25">
      <c r="B15" s="44"/>
      <c r="C15" s="44"/>
      <c r="D15" s="44"/>
      <c r="E15" s="44"/>
      <c r="F15" s="44"/>
      <c r="G15" s="44"/>
      <c r="H15" s="44"/>
      <c r="I15" s="44"/>
    </row>
    <row r="16" spans="2:9" x14ac:dyDescent="0.25">
      <c r="B16" s="44"/>
      <c r="C16" s="44"/>
      <c r="D16" s="44"/>
      <c r="E16" s="44"/>
      <c r="F16" s="44"/>
      <c r="G16" s="44"/>
      <c r="H16" s="44"/>
      <c r="I16" s="44"/>
    </row>
    <row r="61" spans="2:9" x14ac:dyDescent="0.25">
      <c r="B61" s="37"/>
      <c r="C61" s="37"/>
      <c r="D61" s="37"/>
      <c r="E61" s="37"/>
      <c r="F61" s="37"/>
      <c r="G61" s="37"/>
      <c r="H61" s="37"/>
      <c r="I61" s="37"/>
    </row>
    <row r="62" spans="2:9" ht="4.5" customHeight="1" x14ac:dyDescent="0.25"/>
    <row r="63" spans="2:9" x14ac:dyDescent="0.25">
      <c r="B63" s="37"/>
      <c r="C63" s="37"/>
      <c r="D63" s="37"/>
      <c r="E63" s="37"/>
      <c r="F63" s="37"/>
      <c r="G63" s="37"/>
      <c r="H63" s="37"/>
      <c r="I63" s="37"/>
    </row>
    <row r="67" spans="2:9" ht="15.75" x14ac:dyDescent="0.25">
      <c r="B67" s="45" t="s">
        <v>123</v>
      </c>
      <c r="C67" s="45"/>
      <c r="D67" s="45"/>
      <c r="E67" s="45"/>
      <c r="F67" s="45"/>
      <c r="G67" s="45"/>
      <c r="H67" s="45"/>
      <c r="I67" s="45"/>
    </row>
    <row r="68" spans="2:9" x14ac:dyDescent="0.25">
      <c r="C68" s="46">
        <f>'Data Sheet'!E16</f>
        <v>43555</v>
      </c>
      <c r="D68" s="46">
        <f>'Data Sheet'!F16</f>
        <v>43921</v>
      </c>
      <c r="E68" s="46">
        <f>'Data Sheet'!G16</f>
        <v>44286</v>
      </c>
      <c r="F68" s="46">
        <f>'Data Sheet'!H16</f>
        <v>44651</v>
      </c>
      <c r="G68" s="46">
        <f>'Data Sheet'!I16</f>
        <v>45016</v>
      </c>
      <c r="H68" s="46">
        <f>'Data Sheet'!J16</f>
        <v>45382</v>
      </c>
      <c r="I68" s="46">
        <f>'Data Sheet'!K16</f>
        <v>45747</v>
      </c>
    </row>
    <row r="69" spans="2:9" x14ac:dyDescent="0.25">
      <c r="B69" t="s">
        <v>69</v>
      </c>
      <c r="C69" s="47">
        <f>'Data Sheet'!E30</f>
        <v>902.54</v>
      </c>
      <c r="D69" s="47">
        <f>'Data Sheet'!F30</f>
        <v>1301.08</v>
      </c>
      <c r="E69" s="47">
        <f>'Data Sheet'!G30</f>
        <v>1099.49</v>
      </c>
      <c r="F69" s="47">
        <f>'Data Sheet'!H30</f>
        <v>1492.55</v>
      </c>
      <c r="G69" s="47">
        <f>'Data Sheet'!I30</f>
        <v>2378.5100000000002</v>
      </c>
      <c r="H69" s="47">
        <f>'Data Sheet'!J30</f>
        <v>2536.17</v>
      </c>
      <c r="I69" s="47">
        <f>'Data Sheet'!K30</f>
        <v>2708.02</v>
      </c>
    </row>
    <row r="70" spans="2:9" x14ac:dyDescent="0.25">
      <c r="B70" t="s">
        <v>124</v>
      </c>
      <c r="C70" s="47">
        <f>('Data Sheet'!D57+'Data Sheet'!D58)+('Data Sheet'!E57+'Data Sheet'!E58)/2</f>
        <v>7462.7749999999996</v>
      </c>
      <c r="D70" s="47">
        <f>('Data Sheet'!E57+'Data Sheet'!E58)+('Data Sheet'!F57+'Data Sheet'!F58)/2</f>
        <v>11127.32</v>
      </c>
      <c r="E70" s="47">
        <f>('Data Sheet'!F57+'Data Sheet'!F58)+('Data Sheet'!G57+'Data Sheet'!G58)/2</f>
        <v>17171.595000000001</v>
      </c>
      <c r="F70" s="47">
        <f>('Data Sheet'!G57+'Data Sheet'!G58)+('Data Sheet'!H57+'Data Sheet'!H58)/2</f>
        <v>19022.530000000002</v>
      </c>
      <c r="G70" s="47">
        <f>('Data Sheet'!H57+'Data Sheet'!H58)+('Data Sheet'!I57+'Data Sheet'!I58)/2</f>
        <v>21716.99</v>
      </c>
      <c r="H70" s="47">
        <f>('Data Sheet'!I57+'Data Sheet'!I58)+('Data Sheet'!J57+'Data Sheet'!J58)/2</f>
        <v>25427.61</v>
      </c>
      <c r="I70" s="47">
        <f>('Data Sheet'!J57+'Data Sheet'!J58)+('Data Sheet'!K57+'Data Sheet'!K58)/2</f>
        <v>29411.695</v>
      </c>
    </row>
    <row r="71" spans="2:9" x14ac:dyDescent="0.25">
      <c r="B71" s="48" t="s">
        <v>125</v>
      </c>
      <c r="C71" s="49">
        <f>C69/C70</f>
        <v>0.12093892687371655</v>
      </c>
      <c r="D71" s="49">
        <f t="shared" ref="D71:I71" si="0">D69/D70</f>
        <v>0.1169266274358965</v>
      </c>
      <c r="E71" s="49">
        <f t="shared" si="0"/>
        <v>6.4029579081034696E-2</v>
      </c>
      <c r="F71" s="49">
        <f t="shared" si="0"/>
        <v>7.8462223479211224E-2</v>
      </c>
      <c r="G71" s="49">
        <f t="shared" si="0"/>
        <v>0.10952300479946807</v>
      </c>
      <c r="H71" s="49">
        <f t="shared" si="0"/>
        <v>9.974079357045354E-2</v>
      </c>
      <c r="I71" s="49">
        <f t="shared" si="0"/>
        <v>9.2072898212768761E-2</v>
      </c>
    </row>
    <row r="73" spans="2:9" ht="15.75" x14ac:dyDescent="0.25">
      <c r="B73" s="45" t="s">
        <v>126</v>
      </c>
      <c r="C73" s="45"/>
      <c r="D73" s="45"/>
      <c r="E73" s="45"/>
      <c r="F73" s="45"/>
      <c r="G73" s="45"/>
      <c r="H73" s="45"/>
      <c r="I73" s="45"/>
    </row>
    <row r="74" spans="2:9" x14ac:dyDescent="0.25">
      <c r="C74" s="46">
        <f>C68</f>
        <v>43555</v>
      </c>
      <c r="D74" s="46">
        <f t="shared" ref="D74:I74" si="1">D68</f>
        <v>43921</v>
      </c>
      <c r="E74" s="46">
        <f t="shared" si="1"/>
        <v>44286</v>
      </c>
      <c r="F74" s="46">
        <f t="shared" si="1"/>
        <v>44651</v>
      </c>
      <c r="G74" s="46">
        <f t="shared" si="1"/>
        <v>45016</v>
      </c>
      <c r="H74" s="46">
        <f t="shared" si="1"/>
        <v>45382</v>
      </c>
      <c r="I74" s="46">
        <f t="shared" si="1"/>
        <v>45747</v>
      </c>
    </row>
    <row r="75" spans="2:9" x14ac:dyDescent="0.25">
      <c r="B75" t="str">
        <f>B69</f>
        <v>Net Profit</v>
      </c>
      <c r="C75" s="47">
        <f t="shared" ref="C75:I75" si="2">C69</f>
        <v>902.54</v>
      </c>
      <c r="D75" s="47">
        <f t="shared" si="2"/>
        <v>1301.08</v>
      </c>
      <c r="E75" s="47">
        <f t="shared" si="2"/>
        <v>1099.49</v>
      </c>
      <c r="F75" s="47">
        <f t="shared" si="2"/>
        <v>1492.55</v>
      </c>
      <c r="G75" s="47">
        <f t="shared" si="2"/>
        <v>2378.5100000000002</v>
      </c>
      <c r="H75" s="47">
        <f t="shared" si="2"/>
        <v>2536.17</v>
      </c>
      <c r="I75" s="47">
        <f t="shared" si="2"/>
        <v>2708.02</v>
      </c>
    </row>
    <row r="76" spans="2:9" x14ac:dyDescent="0.25">
      <c r="B76" t="s">
        <v>127</v>
      </c>
      <c r="C76" s="47">
        <f>'Data Sheet'!E17</f>
        <v>20004.52</v>
      </c>
      <c r="D76" s="47">
        <f>'Data Sheet'!F17</f>
        <v>24870.2</v>
      </c>
      <c r="E76" s="47">
        <f>'Data Sheet'!G17</f>
        <v>24143.06</v>
      </c>
      <c r="F76" s="47">
        <f>'Data Sheet'!H17</f>
        <v>30976.27</v>
      </c>
      <c r="G76" s="47">
        <f>'Data Sheet'!I17</f>
        <v>42839.56</v>
      </c>
      <c r="H76" s="47">
        <f>'Data Sheet'!J17</f>
        <v>50788.83</v>
      </c>
      <c r="I76" s="47">
        <f>'Data Sheet'!K17</f>
        <v>59358.05</v>
      </c>
    </row>
    <row r="77" spans="2:9" x14ac:dyDescent="0.25">
      <c r="B77" s="48" t="s">
        <v>128</v>
      </c>
      <c r="C77" s="49">
        <f t="shared" ref="C77:H77" si="3">C75/C76</f>
        <v>4.511680360238586E-2</v>
      </c>
      <c r="D77" s="49">
        <f t="shared" si="3"/>
        <v>5.2314818537848508E-2</v>
      </c>
      <c r="E77" s="49">
        <f t="shared" si="3"/>
        <v>4.5540623268135849E-2</v>
      </c>
      <c r="F77" s="49">
        <f t="shared" si="3"/>
        <v>4.8183658006596658E-2</v>
      </c>
      <c r="G77" s="49">
        <f t="shared" si="3"/>
        <v>5.5521345223900537E-2</v>
      </c>
      <c r="H77" s="49">
        <f t="shared" si="3"/>
        <v>4.9935586230279376E-2</v>
      </c>
      <c r="I77" s="49">
        <f>I75/I76</f>
        <v>4.5621781712842653E-2</v>
      </c>
    </row>
    <row r="79" spans="2:9" x14ac:dyDescent="0.25">
      <c r="B79" t="s">
        <v>127</v>
      </c>
      <c r="C79" s="47">
        <f>C76</f>
        <v>20004.52</v>
      </c>
      <c r="D79" s="47">
        <f t="shared" ref="D79:I79" si="4">D76</f>
        <v>24870.2</v>
      </c>
      <c r="E79" s="47">
        <f t="shared" si="4"/>
        <v>24143.06</v>
      </c>
      <c r="F79" s="47">
        <f t="shared" si="4"/>
        <v>30976.27</v>
      </c>
      <c r="G79" s="47">
        <f t="shared" si="4"/>
        <v>42839.56</v>
      </c>
      <c r="H79" s="47">
        <f t="shared" si="4"/>
        <v>50788.83</v>
      </c>
      <c r="I79" s="47">
        <f t="shared" si="4"/>
        <v>59358.05</v>
      </c>
    </row>
    <row r="80" spans="2:9" x14ac:dyDescent="0.25">
      <c r="B80" t="s">
        <v>129</v>
      </c>
      <c r="C80" s="47">
        <f>('Data Sheet'!D66+'Data Sheet'!E66)/2</f>
        <v>6326.8600000000006</v>
      </c>
      <c r="D80" s="47">
        <f>('Data Sheet'!E66+'Data Sheet'!F66)/2</f>
        <v>9540.83</v>
      </c>
      <c r="E80" s="47">
        <f>('Data Sheet'!F66+'Data Sheet'!G66)/2</f>
        <v>12865.605</v>
      </c>
      <c r="F80" s="47">
        <f>('Data Sheet'!G66+'Data Sheet'!H66)/2</f>
        <v>14563.014999999999</v>
      </c>
      <c r="G80" s="47">
        <f>('Data Sheet'!H66+'Data Sheet'!I66)/2</f>
        <v>16787.75</v>
      </c>
      <c r="H80" s="47">
        <f>('Data Sheet'!I66+'Data Sheet'!J66)/2</f>
        <v>19638.5</v>
      </c>
      <c r="I80" s="47">
        <f>('Data Sheet'!J66+'Data Sheet'!K66)/2</f>
        <v>22746.385000000002</v>
      </c>
    </row>
    <row r="81" spans="2:9" x14ac:dyDescent="0.25">
      <c r="B81" s="48" t="s">
        <v>130</v>
      </c>
      <c r="C81" s="50">
        <f t="shared" ref="C81:H81" si="5">C79/C80</f>
        <v>3.1618401545158261</v>
      </c>
      <c r="D81" s="50">
        <f t="shared" si="5"/>
        <v>2.6067124139094817</v>
      </c>
      <c r="E81" s="50">
        <f t="shared" si="5"/>
        <v>1.8765584673243119</v>
      </c>
      <c r="F81" s="50">
        <f t="shared" si="5"/>
        <v>2.1270506141757046</v>
      </c>
      <c r="G81" s="50">
        <f t="shared" si="5"/>
        <v>2.551834522196244</v>
      </c>
      <c r="H81" s="50">
        <f t="shared" si="5"/>
        <v>2.5861868268961481</v>
      </c>
      <c r="I81" s="50">
        <f>I79/I80</f>
        <v>2.6095597168517104</v>
      </c>
    </row>
    <row r="83" spans="2:9" x14ac:dyDescent="0.25">
      <c r="B83" t="str">
        <f>B80</f>
        <v>Average Total Asset</v>
      </c>
      <c r="C83" s="47">
        <f>C80</f>
        <v>6326.8600000000006</v>
      </c>
      <c r="D83" s="47">
        <f t="shared" ref="D83:I83" si="6">D80</f>
        <v>9540.83</v>
      </c>
      <c r="E83" s="47">
        <f t="shared" si="6"/>
        <v>12865.605</v>
      </c>
      <c r="F83" s="47">
        <f t="shared" si="6"/>
        <v>14563.014999999999</v>
      </c>
      <c r="G83" s="47">
        <f t="shared" si="6"/>
        <v>16787.75</v>
      </c>
      <c r="H83" s="47">
        <f t="shared" si="6"/>
        <v>19638.5</v>
      </c>
      <c r="I83" s="47">
        <f t="shared" si="6"/>
        <v>22746.385000000002</v>
      </c>
    </row>
    <row r="84" spans="2:9" x14ac:dyDescent="0.25">
      <c r="B84" t="str">
        <f>B70</f>
        <v>Average Shareholder Equity</v>
      </c>
      <c r="C84" s="47">
        <f>C70</f>
        <v>7462.7749999999996</v>
      </c>
      <c r="D84" s="47">
        <f t="shared" ref="D84:I84" si="7">D70</f>
        <v>11127.32</v>
      </c>
      <c r="E84" s="47">
        <f t="shared" si="7"/>
        <v>17171.595000000001</v>
      </c>
      <c r="F84" s="47">
        <f t="shared" si="7"/>
        <v>19022.530000000002</v>
      </c>
      <c r="G84" s="47">
        <f t="shared" si="7"/>
        <v>21716.99</v>
      </c>
      <c r="H84" s="47">
        <f t="shared" si="7"/>
        <v>25427.61</v>
      </c>
      <c r="I84" s="47">
        <f t="shared" si="7"/>
        <v>29411.695</v>
      </c>
    </row>
    <row r="85" spans="2:9" x14ac:dyDescent="0.25">
      <c r="B85" s="48" t="s">
        <v>131</v>
      </c>
      <c r="C85" s="51">
        <f t="shared" ref="C85:H85" si="8">C83/C84</f>
        <v>0.84778919369805483</v>
      </c>
      <c r="D85" s="51">
        <f t="shared" si="8"/>
        <v>0.85742389002922537</v>
      </c>
      <c r="E85" s="51">
        <f t="shared" si="8"/>
        <v>0.74923762178178543</v>
      </c>
      <c r="F85" s="51">
        <f t="shared" si="8"/>
        <v>0.76556667278222179</v>
      </c>
      <c r="G85" s="51">
        <f t="shared" si="8"/>
        <v>0.77302379381304676</v>
      </c>
      <c r="H85" s="51">
        <f t="shared" si="8"/>
        <v>0.77232976280507681</v>
      </c>
      <c r="I85" s="51">
        <f>I83/I84</f>
        <v>0.77337892290804733</v>
      </c>
    </row>
    <row r="87" spans="2:9" x14ac:dyDescent="0.25">
      <c r="B87" s="48" t="s">
        <v>132</v>
      </c>
      <c r="C87" s="49">
        <f t="shared" ref="C87:H87" si="9">C85*C81*C77</f>
        <v>0.12093892687371656</v>
      </c>
      <c r="D87" s="49">
        <f t="shared" si="9"/>
        <v>0.11692662743589652</v>
      </c>
      <c r="E87" s="49">
        <f t="shared" si="9"/>
        <v>6.4029579081034682E-2</v>
      </c>
      <c r="F87" s="49">
        <f t="shared" si="9"/>
        <v>7.846222347921121E-2</v>
      </c>
      <c r="G87" s="49">
        <f t="shared" si="9"/>
        <v>0.10952300479946807</v>
      </c>
      <c r="H87" s="49">
        <f t="shared" si="9"/>
        <v>9.974079357045354E-2</v>
      </c>
      <c r="I87" s="49">
        <f>I85*I81*I77</f>
        <v>9.2072898212768761E-2</v>
      </c>
    </row>
    <row r="89" spans="2:9" ht="15.75" x14ac:dyDescent="0.25">
      <c r="B89" s="45" t="s">
        <v>133</v>
      </c>
      <c r="C89" s="45"/>
      <c r="D89" s="45"/>
      <c r="E89" s="45"/>
      <c r="F89" s="45"/>
      <c r="G89" s="45"/>
      <c r="H89" s="45"/>
      <c r="I89" s="45"/>
    </row>
    <row r="90" spans="2:9" x14ac:dyDescent="0.25">
      <c r="C90" s="46">
        <f t="shared" ref="C90:H91" si="10">C74</f>
        <v>43555</v>
      </c>
      <c r="D90" s="46">
        <f t="shared" si="10"/>
        <v>43921</v>
      </c>
      <c r="E90" s="46">
        <f t="shared" si="10"/>
        <v>44286</v>
      </c>
      <c r="F90" s="46">
        <f t="shared" si="10"/>
        <v>44651</v>
      </c>
      <c r="G90" s="46">
        <f t="shared" si="10"/>
        <v>45016</v>
      </c>
      <c r="H90" s="46">
        <f t="shared" si="10"/>
        <v>45382</v>
      </c>
      <c r="I90" s="46">
        <f>I74</f>
        <v>45747</v>
      </c>
    </row>
    <row r="91" spans="2:9" x14ac:dyDescent="0.25">
      <c r="B91" t="s">
        <v>69</v>
      </c>
      <c r="C91" s="47">
        <f t="shared" si="10"/>
        <v>902.54</v>
      </c>
      <c r="D91" s="47">
        <f t="shared" si="10"/>
        <v>1301.08</v>
      </c>
      <c r="E91" s="47">
        <f t="shared" si="10"/>
        <v>1099.49</v>
      </c>
      <c r="F91" s="47">
        <f t="shared" si="10"/>
        <v>1492.55</v>
      </c>
      <c r="G91" s="47">
        <f t="shared" si="10"/>
        <v>2378.5100000000002</v>
      </c>
      <c r="H91" s="47">
        <f t="shared" si="10"/>
        <v>2536.17</v>
      </c>
      <c r="I91" s="47">
        <f>I75</f>
        <v>2708.02</v>
      </c>
    </row>
    <row r="92" spans="2:9" x14ac:dyDescent="0.25">
      <c r="B92" t="str">
        <f>B83</f>
        <v>Average Total Asset</v>
      </c>
      <c r="C92" s="47">
        <f t="shared" ref="C92:H92" si="11">C80</f>
        <v>6326.8600000000006</v>
      </c>
      <c r="D92" s="47">
        <f t="shared" si="11"/>
        <v>9540.83</v>
      </c>
      <c r="E92" s="47">
        <f t="shared" si="11"/>
        <v>12865.605</v>
      </c>
      <c r="F92" s="47">
        <f t="shared" si="11"/>
        <v>14563.014999999999</v>
      </c>
      <c r="G92" s="47">
        <f t="shared" si="11"/>
        <v>16787.75</v>
      </c>
      <c r="H92" s="47">
        <f t="shared" si="11"/>
        <v>19638.5</v>
      </c>
      <c r="I92" s="47">
        <f>I80</f>
        <v>22746.385000000002</v>
      </c>
    </row>
    <row r="93" spans="2:9" x14ac:dyDescent="0.25">
      <c r="B93" s="48" t="s">
        <v>133</v>
      </c>
      <c r="C93" s="49">
        <f>C91/C92</f>
        <v>0.14265212127342788</v>
      </c>
      <c r="D93" s="49">
        <f t="shared" ref="D93:I93" si="12">D91/D92</f>
        <v>0.13636968691403159</v>
      </c>
      <c r="E93" s="49">
        <f t="shared" si="12"/>
        <v>8.5459642201046904E-2</v>
      </c>
      <c r="F93" s="49">
        <f t="shared" si="12"/>
        <v>0.10248907935616354</v>
      </c>
      <c r="G93" s="49">
        <f t="shared" si="12"/>
        <v>0.14168128546112493</v>
      </c>
      <c r="H93" s="49">
        <f t="shared" si="12"/>
        <v>0.12914275530208519</v>
      </c>
      <c r="I93" s="49">
        <f t="shared" si="12"/>
        <v>0.11905276376883622</v>
      </c>
    </row>
    <row r="95" spans="2:9" ht="15.75" x14ac:dyDescent="0.25">
      <c r="B95" s="45" t="s">
        <v>134</v>
      </c>
      <c r="C95" s="45"/>
      <c r="D95" s="45"/>
      <c r="E95" s="45"/>
      <c r="F95" s="45"/>
      <c r="G95" s="45"/>
      <c r="H95" s="45"/>
      <c r="I95" s="45"/>
    </row>
    <row r="96" spans="2:9" x14ac:dyDescent="0.25">
      <c r="C96" s="46">
        <f>C90</f>
        <v>43555</v>
      </c>
      <c r="D96" s="46">
        <f t="shared" ref="D96:I96" si="13">D90</f>
        <v>43921</v>
      </c>
      <c r="E96" s="46">
        <f t="shared" si="13"/>
        <v>44286</v>
      </c>
      <c r="F96" s="46">
        <f t="shared" si="13"/>
        <v>44651</v>
      </c>
      <c r="G96" s="46">
        <f t="shared" si="13"/>
        <v>45016</v>
      </c>
      <c r="H96" s="46">
        <f t="shared" si="13"/>
        <v>45382</v>
      </c>
      <c r="I96" s="46">
        <f t="shared" si="13"/>
        <v>45747</v>
      </c>
    </row>
    <row r="97" spans="2:9" x14ac:dyDescent="0.25">
      <c r="B97" t="str">
        <f>B91</f>
        <v>Net Profit</v>
      </c>
      <c r="C97" s="47">
        <f t="shared" ref="C97:H97" si="14">C91</f>
        <v>902.54</v>
      </c>
      <c r="D97" s="47">
        <f t="shared" si="14"/>
        <v>1301.08</v>
      </c>
      <c r="E97" s="47">
        <f t="shared" si="14"/>
        <v>1099.49</v>
      </c>
      <c r="F97" s="47">
        <f t="shared" si="14"/>
        <v>1492.55</v>
      </c>
      <c r="G97" s="47">
        <f t="shared" si="14"/>
        <v>2378.5100000000002</v>
      </c>
      <c r="H97" s="47">
        <f t="shared" si="14"/>
        <v>2536.17</v>
      </c>
      <c r="I97" s="47">
        <f>I91</f>
        <v>2708.02</v>
      </c>
    </row>
    <row r="98" spans="2:9" x14ac:dyDescent="0.25">
      <c r="B98" t="s">
        <v>127</v>
      </c>
      <c r="C98" s="47">
        <f t="shared" ref="C98:H98" si="15">C79</f>
        <v>20004.52</v>
      </c>
      <c r="D98" s="47">
        <f t="shared" si="15"/>
        <v>24870.2</v>
      </c>
      <c r="E98" s="47">
        <f t="shared" si="15"/>
        <v>24143.06</v>
      </c>
      <c r="F98" s="47">
        <f t="shared" si="15"/>
        <v>30976.27</v>
      </c>
      <c r="G98" s="47">
        <f t="shared" si="15"/>
        <v>42839.56</v>
      </c>
      <c r="H98" s="47">
        <f t="shared" si="15"/>
        <v>50788.83</v>
      </c>
      <c r="I98" s="47">
        <f>I79</f>
        <v>59358.05</v>
      </c>
    </row>
    <row r="99" spans="2:9" x14ac:dyDescent="0.25">
      <c r="B99" s="48" t="s">
        <v>128</v>
      </c>
      <c r="C99" s="49">
        <f t="shared" ref="C99:H99" si="16">C97/C98</f>
        <v>4.511680360238586E-2</v>
      </c>
      <c r="D99" s="49">
        <f t="shared" si="16"/>
        <v>5.2314818537848508E-2</v>
      </c>
      <c r="E99" s="49">
        <f t="shared" si="16"/>
        <v>4.5540623268135849E-2</v>
      </c>
      <c r="F99" s="49">
        <f t="shared" si="16"/>
        <v>4.8183658006596658E-2</v>
      </c>
      <c r="G99" s="49">
        <f t="shared" si="16"/>
        <v>5.5521345223900537E-2</v>
      </c>
      <c r="H99" s="49">
        <f t="shared" si="16"/>
        <v>4.9935586230279376E-2</v>
      </c>
      <c r="I99" s="49">
        <f>I97/I98</f>
        <v>4.5621781712842653E-2</v>
      </c>
    </row>
    <row r="101" spans="2:9" x14ac:dyDescent="0.25">
      <c r="B101" t="s">
        <v>127</v>
      </c>
      <c r="C101" s="47">
        <f t="shared" ref="C101:H101" si="17">C98</f>
        <v>20004.52</v>
      </c>
      <c r="D101" s="47">
        <f t="shared" si="17"/>
        <v>24870.2</v>
      </c>
      <c r="E101" s="47">
        <f t="shared" si="17"/>
        <v>24143.06</v>
      </c>
      <c r="F101" s="47">
        <f t="shared" si="17"/>
        <v>30976.27</v>
      </c>
      <c r="G101" s="47">
        <f t="shared" si="17"/>
        <v>42839.56</v>
      </c>
      <c r="H101" s="47">
        <f t="shared" si="17"/>
        <v>50788.83</v>
      </c>
      <c r="I101" s="47">
        <f>I98</f>
        <v>59358.05</v>
      </c>
    </row>
    <row r="102" spans="2:9" x14ac:dyDescent="0.25">
      <c r="B102" t="s">
        <v>129</v>
      </c>
      <c r="C102" s="47">
        <f t="shared" ref="C102:H102" si="18">C92</f>
        <v>6326.8600000000006</v>
      </c>
      <c r="D102" s="47">
        <f t="shared" si="18"/>
        <v>9540.83</v>
      </c>
      <c r="E102" s="47">
        <f t="shared" si="18"/>
        <v>12865.605</v>
      </c>
      <c r="F102" s="47">
        <f t="shared" si="18"/>
        <v>14563.014999999999</v>
      </c>
      <c r="G102" s="47">
        <f t="shared" si="18"/>
        <v>16787.75</v>
      </c>
      <c r="H102" s="47">
        <f t="shared" si="18"/>
        <v>19638.5</v>
      </c>
      <c r="I102" s="47">
        <f>I92</f>
        <v>22746.385000000002</v>
      </c>
    </row>
    <row r="103" spans="2:9" x14ac:dyDescent="0.25">
      <c r="B103" s="48" t="s">
        <v>130</v>
      </c>
      <c r="C103" s="50">
        <f t="shared" ref="C103:H103" si="19">C101/C102</f>
        <v>3.1618401545158261</v>
      </c>
      <c r="D103" s="50">
        <f t="shared" si="19"/>
        <v>2.6067124139094817</v>
      </c>
      <c r="E103" s="50">
        <f t="shared" si="19"/>
        <v>1.8765584673243119</v>
      </c>
      <c r="F103" s="50">
        <f t="shared" si="19"/>
        <v>2.1270506141757046</v>
      </c>
      <c r="G103" s="50">
        <f t="shared" si="19"/>
        <v>2.551834522196244</v>
      </c>
      <c r="H103" s="50">
        <f t="shared" si="19"/>
        <v>2.5861868268961481</v>
      </c>
      <c r="I103" s="50">
        <f>I101/I102</f>
        <v>2.6095597168517104</v>
      </c>
    </row>
    <row r="105" spans="2:9" x14ac:dyDescent="0.25">
      <c r="B105" s="48" t="s">
        <v>135</v>
      </c>
      <c r="C105" s="49">
        <f>C103*C99</f>
        <v>0.14265212127342788</v>
      </c>
      <c r="D105" s="49">
        <f t="shared" ref="D105:I105" si="20">D103*D99</f>
        <v>0.13636968691403159</v>
      </c>
      <c r="E105" s="49">
        <f t="shared" si="20"/>
        <v>8.5459642201046904E-2</v>
      </c>
      <c r="F105" s="49">
        <f t="shared" si="20"/>
        <v>0.10248907935616353</v>
      </c>
      <c r="G105" s="49">
        <f t="shared" si="20"/>
        <v>0.14168128546112493</v>
      </c>
      <c r="H105" s="49">
        <f t="shared" si="20"/>
        <v>0.12914275530208522</v>
      </c>
      <c r="I105" s="49">
        <f t="shared" si="20"/>
        <v>0.11905276376883621</v>
      </c>
    </row>
  </sheetData>
  <mergeCells count="5">
    <mergeCell ref="B9:I12"/>
    <mergeCell ref="B67:I67"/>
    <mergeCell ref="B73:I73"/>
    <mergeCell ref="B89:I89"/>
    <mergeCell ref="B95:I9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 Sheet</vt:lpstr>
      <vt:lpstr>Cash Flow Data</vt:lpstr>
      <vt:lpstr>FS Analysis</vt:lpstr>
      <vt:lpstr>DU Pont </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Akhtar</cp:lastModifiedBy>
  <cp:lastPrinted>2012-12-06T18:14:13Z</cp:lastPrinted>
  <dcterms:created xsi:type="dcterms:W3CDTF">2012-08-17T09:55:37Z</dcterms:created>
  <dcterms:modified xsi:type="dcterms:W3CDTF">2025-06-30T15:13:20Z</dcterms:modified>
</cp:coreProperties>
</file>