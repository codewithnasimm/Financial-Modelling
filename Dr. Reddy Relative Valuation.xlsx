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chrome Downloads\nasim project\"/>
    </mc:Choice>
  </mc:AlternateContent>
  <bookViews>
    <workbookView xWindow="0" yWindow="0" windowWidth="20490" windowHeight="7620"/>
  </bookViews>
  <sheets>
    <sheet name="Implied value" sheetId="1" r:id="rId1"/>
    <sheet name="Data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" l="1"/>
  <c r="P34" i="1"/>
  <c r="O34" i="1"/>
  <c r="Q29" i="1"/>
  <c r="Q31" i="1"/>
  <c r="Q32" i="1"/>
  <c r="P32" i="1"/>
  <c r="O32" i="1"/>
  <c r="P31" i="1"/>
  <c r="O31" i="1"/>
  <c r="Q30" i="1"/>
  <c r="P30" i="1"/>
  <c r="O30" i="1"/>
  <c r="P29" i="1"/>
  <c r="O29" i="1"/>
  <c r="Q25" i="1"/>
  <c r="P25" i="1"/>
  <c r="O25" i="1"/>
  <c r="Q24" i="1"/>
  <c r="P24" i="1"/>
  <c r="O24" i="1"/>
  <c r="Q23" i="1"/>
  <c r="P23" i="1"/>
  <c r="O23" i="1"/>
  <c r="Q22" i="1"/>
  <c r="P22" i="1"/>
  <c r="O22" i="1"/>
  <c r="Q21" i="1"/>
  <c r="P21" i="1"/>
  <c r="O21" i="1"/>
  <c r="Q20" i="1"/>
  <c r="P20" i="1"/>
  <c r="O20" i="1"/>
  <c r="M18" i="1"/>
  <c r="M17" i="1"/>
  <c r="M16" i="1"/>
  <c r="M15" i="1"/>
  <c r="M14" i="1"/>
  <c r="M13" i="1"/>
  <c r="M12" i="1"/>
  <c r="M11" i="1"/>
  <c r="M10" i="1"/>
  <c r="M9" i="1"/>
  <c r="L18" i="1"/>
  <c r="L17" i="1"/>
  <c r="L16" i="1"/>
  <c r="L15" i="1"/>
  <c r="L14" i="1"/>
  <c r="L13" i="1"/>
  <c r="L12" i="1"/>
  <c r="L11" i="1"/>
  <c r="L10" i="1"/>
  <c r="L9" i="1"/>
  <c r="K18" i="1"/>
  <c r="K17" i="1"/>
  <c r="K16" i="1"/>
  <c r="K15" i="1"/>
  <c r="K14" i="1"/>
  <c r="K13" i="1"/>
  <c r="K12" i="1"/>
  <c r="K11" i="1"/>
  <c r="K10" i="1"/>
  <c r="K9" i="1"/>
  <c r="G18" i="1"/>
  <c r="G17" i="1"/>
  <c r="G16" i="1"/>
  <c r="G15" i="1"/>
  <c r="G14" i="1"/>
  <c r="G13" i="1"/>
  <c r="G12" i="1"/>
  <c r="G11" i="1"/>
  <c r="G10" i="1"/>
  <c r="G9" i="1"/>
  <c r="F18" i="1"/>
  <c r="Q18" i="1" s="1"/>
  <c r="F14" i="1"/>
  <c r="H14" i="1" s="1"/>
  <c r="F10" i="1"/>
  <c r="Q10" i="1" s="1"/>
  <c r="E18" i="1"/>
  <c r="D18" i="1"/>
  <c r="E17" i="1"/>
  <c r="D17" i="1"/>
  <c r="F17" i="1" s="1"/>
  <c r="E16" i="1"/>
  <c r="D16" i="1"/>
  <c r="F16" i="1" s="1"/>
  <c r="E15" i="1"/>
  <c r="D15" i="1"/>
  <c r="F15" i="1" s="1"/>
  <c r="E14" i="1"/>
  <c r="D14" i="1"/>
  <c r="E13" i="1"/>
  <c r="D13" i="1"/>
  <c r="F13" i="1" s="1"/>
  <c r="E12" i="1"/>
  <c r="D12" i="1"/>
  <c r="F12" i="1" s="1"/>
  <c r="E11" i="1"/>
  <c r="F11" i="1" s="1"/>
  <c r="D11" i="1"/>
  <c r="E10" i="1"/>
  <c r="D10" i="1"/>
  <c r="E9" i="1"/>
  <c r="D9" i="1"/>
  <c r="F9" i="1" s="1"/>
  <c r="B18" i="1"/>
  <c r="B17" i="1"/>
  <c r="B16" i="1"/>
  <c r="B15" i="1"/>
  <c r="B14" i="1"/>
  <c r="B13" i="1"/>
  <c r="B12" i="1"/>
  <c r="B11" i="1"/>
  <c r="B10" i="1"/>
  <c r="B9" i="1"/>
  <c r="H13" i="1" l="1"/>
  <c r="Q13" i="1"/>
  <c r="H15" i="1"/>
  <c r="Q15" i="1"/>
  <c r="H11" i="1"/>
  <c r="Q11" i="1"/>
  <c r="P14" i="1"/>
  <c r="O14" i="1"/>
  <c r="Q17" i="1"/>
  <c r="H17" i="1"/>
  <c r="H12" i="1"/>
  <c r="Q12" i="1"/>
  <c r="Q9" i="1"/>
  <c r="H9" i="1"/>
  <c r="Q16" i="1"/>
  <c r="H16" i="1"/>
  <c r="H18" i="1"/>
  <c r="H10" i="1"/>
  <c r="Q14" i="1"/>
  <c r="P16" i="1" l="1"/>
  <c r="O16" i="1"/>
  <c r="P9" i="1"/>
  <c r="O9" i="1"/>
  <c r="O11" i="1"/>
  <c r="P11" i="1"/>
  <c r="O15" i="1"/>
  <c r="P15" i="1"/>
  <c r="P12" i="1"/>
  <c r="O12" i="1"/>
  <c r="P10" i="1"/>
  <c r="O10" i="1"/>
  <c r="P17" i="1"/>
  <c r="O17" i="1"/>
  <c r="P18" i="1"/>
  <c r="O18" i="1"/>
  <c r="P13" i="1"/>
  <c r="O13" i="1"/>
</calcChain>
</file>

<file path=xl/sharedStrings.xml><?xml version="1.0" encoding="utf-8"?>
<sst xmlns="http://schemas.openxmlformats.org/spreadsheetml/2006/main" count="55" uniqueCount="50">
  <si>
    <t>Amount in crores</t>
  </si>
  <si>
    <t>Comparable Company Valuation</t>
  </si>
  <si>
    <t>Market Data</t>
  </si>
  <si>
    <t>Financials</t>
  </si>
  <si>
    <t>Valuation</t>
  </si>
  <si>
    <t>Company</t>
  </si>
  <si>
    <t>Share Price</t>
  </si>
  <si>
    <t>Shares Outstanding</t>
  </si>
  <si>
    <t>Equity Value</t>
  </si>
  <si>
    <t>Net Debt</t>
  </si>
  <si>
    <t>Enterprise Value</t>
  </si>
  <si>
    <t>Revenue</t>
  </si>
  <si>
    <t>EBITDA</t>
  </si>
  <si>
    <t>Net Income</t>
  </si>
  <si>
    <t>EV/Revenue</t>
  </si>
  <si>
    <t>EV/EBITDA</t>
  </si>
  <si>
    <t>P/E</t>
  </si>
  <si>
    <t>S.No.</t>
  </si>
  <si>
    <t>Name</t>
  </si>
  <si>
    <t>CMP Rs.</t>
  </si>
  <si>
    <t>No. Eq. Shares Cr.</t>
  </si>
  <si>
    <t xml:space="preserve">Mar Cap Rs.Cr. </t>
  </si>
  <si>
    <t>Debt Rs.Cr.</t>
  </si>
  <si>
    <t>Cash End Rs.Cr.</t>
  </si>
  <si>
    <t>Sales Rs.Cr.</t>
  </si>
  <si>
    <t>EV Rs.Cr.</t>
  </si>
  <si>
    <t>NP 12M Rs.Cr.</t>
  </si>
  <si>
    <t>EBIT 12M Rs.Cr.</t>
  </si>
  <si>
    <t>Dep 12M Rs.Cr.</t>
  </si>
  <si>
    <t>EV / EBITDA</t>
  </si>
  <si>
    <t>Sun Pharma.Inds.</t>
  </si>
  <si>
    <t>Divi's Lab.</t>
  </si>
  <si>
    <t>Cipla</t>
  </si>
  <si>
    <t>Dr Reddy's Labs</t>
  </si>
  <si>
    <t>Torrent Pharma.</t>
  </si>
  <si>
    <t>Zydus Lifesci.</t>
  </si>
  <si>
    <t>Mankind Pharma</t>
  </si>
  <si>
    <t>Lupin</t>
  </si>
  <si>
    <t>Abbott India</t>
  </si>
  <si>
    <t>Aurobindo Pharma</t>
  </si>
  <si>
    <t>High</t>
  </si>
  <si>
    <t>75th Percentile</t>
  </si>
  <si>
    <t>Average</t>
  </si>
  <si>
    <t>Median</t>
  </si>
  <si>
    <t>25th Percentile</t>
  </si>
  <si>
    <t>Low</t>
  </si>
  <si>
    <t xml:space="preserve">                                                                    Dr Reddy's Labs Comparable valuation</t>
  </si>
  <si>
    <t>Implied Enterprise Value</t>
  </si>
  <si>
    <t>Implied Market Value</t>
  </si>
  <si>
    <t>Implied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</si>
</sst>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\x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  <xf numFmtId="0" fontId="0" fillId="3" borderId="2" xfId="0" applyFill="1" applyBorder="1"/>
    <xf numFmtId="165" fontId="0" fillId="3" borderId="2" xfId="0" applyNumberFormat="1" applyFill="1" applyBorder="1"/>
    <xf numFmtId="0" fontId="1" fillId="3" borderId="2" xfId="0" applyFont="1" applyFill="1" applyBorder="1"/>
    <xf numFmtId="165" fontId="1" fillId="3" borderId="2" xfId="0" applyNumberFormat="1" applyFont="1" applyFill="1" applyBorder="1"/>
    <xf numFmtId="164" fontId="1" fillId="3" borderId="2" xfId="0" applyNumberFormat="1" applyFont="1" applyFill="1" applyBorder="1"/>
    <xf numFmtId="0" fontId="1" fillId="3" borderId="3" xfId="0" applyFont="1" applyFill="1" applyBorder="1"/>
    <xf numFmtId="164" fontId="1" fillId="3" borderId="3" xfId="0" applyNumberFormat="1" applyFont="1" applyFill="1" applyBorder="1"/>
    <xf numFmtId="0" fontId="3" fillId="0" borderId="0" xfId="0" applyFont="1"/>
    <xf numFmtId="0" fontId="4" fillId="0" borderId="1" xfId="0" applyFont="1" applyBorder="1"/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4"/>
  <sheetViews>
    <sheetView showGridLines="0" tabSelected="1" zoomScale="82" zoomScaleNormal="82" workbookViewId="0">
      <selection activeCell="P15" sqref="P15"/>
    </sheetView>
  </sheetViews>
  <sheetFormatPr defaultRowHeight="14.25"/>
  <cols>
    <col min="1" max="1" width="2.125" customWidth="1"/>
    <col min="5" max="5" width="12.875" customWidth="1"/>
    <col min="6" max="6" width="14" customWidth="1"/>
    <col min="8" max="8" width="13.75" customWidth="1"/>
    <col min="13" max="13" width="13.125" customWidth="1"/>
    <col min="15" max="15" width="15.25" customWidth="1"/>
    <col min="16" max="16" width="12.875" customWidth="1"/>
    <col min="17" max="17" width="9.625" customWidth="1"/>
  </cols>
  <sheetData>
    <row r="3" spans="2:17" ht="15">
      <c r="B3" s="19" t="s">
        <v>0</v>
      </c>
      <c r="C3" s="19"/>
    </row>
    <row r="4" spans="2:17" ht="15">
      <c r="B4" s="20" t="s">
        <v>1</v>
      </c>
      <c r="C4" s="20"/>
      <c r="D4" s="1"/>
      <c r="E4" s="1"/>
      <c r="F4" s="1"/>
      <c r="G4" s="1"/>
      <c r="H4" s="1"/>
    </row>
    <row r="5" spans="2:17" ht="5.25" customHeight="1"/>
    <row r="6" spans="2:17">
      <c r="B6" s="3"/>
      <c r="C6" s="3"/>
      <c r="D6" s="21" t="s">
        <v>2</v>
      </c>
      <c r="E6" s="21"/>
      <c r="F6" s="21"/>
      <c r="G6" s="21"/>
      <c r="H6" s="21"/>
      <c r="I6" s="3"/>
      <c r="J6" s="3"/>
      <c r="K6" s="21" t="s">
        <v>3</v>
      </c>
      <c r="L6" s="21"/>
      <c r="M6" s="21"/>
      <c r="N6" s="3"/>
      <c r="O6" s="21" t="s">
        <v>4</v>
      </c>
      <c r="P6" s="21"/>
      <c r="Q6" s="21"/>
    </row>
    <row r="7" spans="2:17" ht="42.75" customHeight="1">
      <c r="B7" s="4" t="s">
        <v>5</v>
      </c>
      <c r="C7" s="3"/>
      <c r="D7" s="5" t="s">
        <v>6</v>
      </c>
      <c r="E7" s="5" t="s">
        <v>7</v>
      </c>
      <c r="F7" s="5" t="s">
        <v>8</v>
      </c>
      <c r="G7" s="6" t="s">
        <v>9</v>
      </c>
      <c r="H7" s="5" t="s">
        <v>10</v>
      </c>
      <c r="I7" s="6"/>
      <c r="J7" s="6"/>
      <c r="K7" s="6" t="s">
        <v>11</v>
      </c>
      <c r="L7" s="6" t="s">
        <v>12</v>
      </c>
      <c r="M7" s="6" t="s">
        <v>13</v>
      </c>
      <c r="N7" s="6"/>
      <c r="O7" s="6" t="s">
        <v>14</v>
      </c>
      <c r="P7" s="6" t="s">
        <v>15</v>
      </c>
      <c r="Q7" s="6" t="s">
        <v>16</v>
      </c>
    </row>
    <row r="8" spans="2:17" ht="3.75" customHeight="1"/>
    <row r="9" spans="2:17">
      <c r="B9" s="9" t="str">
        <f>'Data sheet'!C3</f>
        <v>Sun Pharma.Inds.</v>
      </c>
      <c r="C9" s="9"/>
      <c r="D9" s="10">
        <f>'Data sheet'!D3</f>
        <v>1661.15</v>
      </c>
      <c r="E9" s="10">
        <f>'Data sheet'!E3</f>
        <v>239.93</v>
      </c>
      <c r="F9" s="10">
        <f>D9*E9</f>
        <v>398559.71950000001</v>
      </c>
      <c r="G9" s="10">
        <f>'Data sheet'!G3-'Data sheet'!H3</f>
        <v>-8969.43</v>
      </c>
      <c r="H9" s="10">
        <f>F9+G9</f>
        <v>389590.28950000001</v>
      </c>
      <c r="I9" s="9"/>
      <c r="J9" s="9"/>
      <c r="K9" s="10">
        <f>'Data sheet'!I3</f>
        <v>52578.44</v>
      </c>
      <c r="L9" s="10">
        <f>'Data sheet'!L3+'Data sheet'!M3</f>
        <v>17236.73</v>
      </c>
      <c r="M9" s="10">
        <f>'Data sheet'!K3</f>
        <v>10964.75</v>
      </c>
      <c r="N9" s="10"/>
      <c r="O9" s="11">
        <f>$H9/K9</f>
        <v>7.4096966266020825</v>
      </c>
      <c r="P9" s="11">
        <f t="shared" ref="P9:P18" si="0">$H9/L9</f>
        <v>22.60233173577587</v>
      </c>
      <c r="Q9" s="11">
        <f>F9/M9</f>
        <v>36.349184386328915</v>
      </c>
    </row>
    <row r="10" spans="2:17">
      <c r="B10" s="9" t="str">
        <f>'Data sheet'!C4</f>
        <v>Divi's Lab.</v>
      </c>
      <c r="C10" s="9"/>
      <c r="D10" s="10">
        <f>'Data sheet'!D4</f>
        <v>6632.65</v>
      </c>
      <c r="E10" s="10">
        <f>'Data sheet'!E4</f>
        <v>26.55</v>
      </c>
      <c r="F10" s="10">
        <f t="shared" ref="F10:F18" si="1">D10*E10</f>
        <v>176096.85749999998</v>
      </c>
      <c r="G10" s="10">
        <f>'Data sheet'!G4-'Data sheet'!H4</f>
        <v>-3711</v>
      </c>
      <c r="H10" s="10">
        <f t="shared" ref="H10:H18" si="2">F10+G10</f>
        <v>172385.85749999998</v>
      </c>
      <c r="I10" s="9"/>
      <c r="J10" s="9"/>
      <c r="K10" s="10">
        <f>'Data sheet'!I4</f>
        <v>9360</v>
      </c>
      <c r="L10" s="10">
        <f>'Data sheet'!L4+'Data sheet'!M4</f>
        <v>3320</v>
      </c>
      <c r="M10" s="10">
        <f>'Data sheet'!K4</f>
        <v>2191</v>
      </c>
      <c r="N10" s="10"/>
      <c r="O10" s="11">
        <f t="shared" ref="O10:O18" si="3">$H10/K10</f>
        <v>18.417292467948716</v>
      </c>
      <c r="P10" s="11">
        <f t="shared" si="0"/>
        <v>51.923451054216862</v>
      </c>
      <c r="Q10" s="11">
        <f t="shared" ref="Q10:Q18" si="4">F10/M10</f>
        <v>80.372824052943855</v>
      </c>
    </row>
    <row r="11" spans="2:17">
      <c r="B11" s="9" t="str">
        <f>'Data sheet'!C5</f>
        <v>Cipla</v>
      </c>
      <c r="C11" s="9"/>
      <c r="D11" s="10">
        <f>'Data sheet'!D5</f>
        <v>1495.9</v>
      </c>
      <c r="E11" s="10">
        <f>'Data sheet'!E5</f>
        <v>80.77</v>
      </c>
      <c r="F11" s="10">
        <f t="shared" si="1"/>
        <v>120823.84300000001</v>
      </c>
      <c r="G11" s="10">
        <f>'Data sheet'!G5-'Data sheet'!H5</f>
        <v>-361.65000000000003</v>
      </c>
      <c r="H11" s="10">
        <f t="shared" si="2"/>
        <v>120462.19300000001</v>
      </c>
      <c r="I11" s="9"/>
      <c r="J11" s="9"/>
      <c r="K11" s="10">
        <f>'Data sheet'!I5</f>
        <v>27547.62</v>
      </c>
      <c r="L11" s="10">
        <f>'Data sheet'!L5+'Data sheet'!M5</f>
        <v>7989.7699999999995</v>
      </c>
      <c r="M11" s="10">
        <f>'Data sheet'!K5</f>
        <v>5269.2</v>
      </c>
      <c r="N11" s="10"/>
      <c r="O11" s="11">
        <f t="shared" si="3"/>
        <v>4.3728711591055784</v>
      </c>
      <c r="P11" s="11">
        <f t="shared" si="0"/>
        <v>15.077053907684455</v>
      </c>
      <c r="Q11" s="11">
        <f t="shared" si="4"/>
        <v>22.930206293175438</v>
      </c>
    </row>
    <row r="12" spans="2:17" ht="15">
      <c r="B12" s="14" t="str">
        <f>'Data sheet'!C6</f>
        <v>Dr Reddy's Labs</v>
      </c>
      <c r="C12" s="14"/>
      <c r="D12" s="16">
        <f>'Data sheet'!D6</f>
        <v>1320.8</v>
      </c>
      <c r="E12" s="16">
        <f>'Data sheet'!E6</f>
        <v>83.46</v>
      </c>
      <c r="F12" s="16">
        <f t="shared" si="1"/>
        <v>110233.96799999999</v>
      </c>
      <c r="G12" s="16">
        <f>'Data sheet'!G6-'Data sheet'!H6</f>
        <v>2216.4000000000005</v>
      </c>
      <c r="H12" s="16">
        <f t="shared" si="2"/>
        <v>112450.36799999999</v>
      </c>
      <c r="I12" s="14"/>
      <c r="J12" s="14"/>
      <c r="K12" s="16">
        <f>'Data sheet'!I6</f>
        <v>32643.9</v>
      </c>
      <c r="L12" s="16">
        <f>'Data sheet'!L6+'Data sheet'!M6</f>
        <v>9666.1</v>
      </c>
      <c r="M12" s="16">
        <f>'Data sheet'!K6</f>
        <v>5725.2</v>
      </c>
      <c r="N12" s="16"/>
      <c r="O12" s="15">
        <f t="shared" si="3"/>
        <v>3.444758990194186</v>
      </c>
      <c r="P12" s="15">
        <f t="shared" si="0"/>
        <v>11.633478652196851</v>
      </c>
      <c r="Q12" s="15">
        <f t="shared" si="4"/>
        <v>19.254168937329698</v>
      </c>
    </row>
    <row r="13" spans="2:17">
      <c r="B13" s="9" t="str">
        <f>'Data sheet'!C7</f>
        <v>Torrent Pharma.</v>
      </c>
      <c r="C13" s="9"/>
      <c r="D13" s="10">
        <f>'Data sheet'!D7</f>
        <v>3165.95</v>
      </c>
      <c r="E13" s="10">
        <f>'Data sheet'!E7</f>
        <v>33.840000000000003</v>
      </c>
      <c r="F13" s="10">
        <f t="shared" si="1"/>
        <v>107135.74800000001</v>
      </c>
      <c r="G13" s="10">
        <f>'Data sheet'!G7-'Data sheet'!H7</f>
        <v>2623</v>
      </c>
      <c r="H13" s="10">
        <f t="shared" si="2"/>
        <v>109758.74800000001</v>
      </c>
      <c r="I13" s="9"/>
      <c r="J13" s="9"/>
      <c r="K13" s="10">
        <f>'Data sheet'!I7</f>
        <v>11516</v>
      </c>
      <c r="L13" s="10">
        <f>'Data sheet'!L7+'Data sheet'!M7</f>
        <v>3744</v>
      </c>
      <c r="M13" s="10">
        <f>'Data sheet'!K7</f>
        <v>1911</v>
      </c>
      <c r="N13" s="10"/>
      <c r="O13" s="11">
        <f t="shared" si="3"/>
        <v>9.5309784647447042</v>
      </c>
      <c r="P13" s="11">
        <f t="shared" si="0"/>
        <v>29.315904914529916</v>
      </c>
      <c r="Q13" s="11">
        <f t="shared" si="4"/>
        <v>56.062662480376773</v>
      </c>
    </row>
    <row r="14" spans="2:17">
      <c r="B14" s="9" t="str">
        <f>'Data sheet'!C8</f>
        <v>Zydus Lifesci.</v>
      </c>
      <c r="C14" s="9"/>
      <c r="D14" s="10">
        <f>'Data sheet'!D8</f>
        <v>956.15</v>
      </c>
      <c r="E14" s="10">
        <f>'Data sheet'!E8</f>
        <v>100.62</v>
      </c>
      <c r="F14" s="10">
        <f t="shared" si="1"/>
        <v>96207.813000000009</v>
      </c>
      <c r="G14" s="10">
        <f>'Data sheet'!G8-'Data sheet'!H8</f>
        <v>256.39999999999964</v>
      </c>
      <c r="H14" s="10">
        <f t="shared" si="2"/>
        <v>96464.213000000003</v>
      </c>
      <c r="I14" s="9"/>
      <c r="J14" s="9"/>
      <c r="K14" s="10">
        <f>'Data sheet'!I8</f>
        <v>23241.5</v>
      </c>
      <c r="L14" s="10">
        <f>'Data sheet'!L8+'Data sheet'!M8</f>
        <v>7328</v>
      </c>
      <c r="M14" s="10">
        <f>'Data sheet'!K8</f>
        <v>4672.6000000000004</v>
      </c>
      <c r="N14" s="10"/>
      <c r="O14" s="11">
        <f t="shared" si="3"/>
        <v>4.1505158014758088</v>
      </c>
      <c r="P14" s="11">
        <f t="shared" si="0"/>
        <v>13.16378452510917</v>
      </c>
      <c r="Q14" s="11">
        <f t="shared" si="4"/>
        <v>20.589781492102897</v>
      </c>
    </row>
    <row r="15" spans="2:17">
      <c r="B15" s="9" t="str">
        <f>'Data sheet'!C9</f>
        <v>Mankind Pharma</v>
      </c>
      <c r="C15" s="9"/>
      <c r="D15" s="10">
        <f>'Data sheet'!D9</f>
        <v>2295.1</v>
      </c>
      <c r="E15" s="10">
        <f>'Data sheet'!E9</f>
        <v>41.27</v>
      </c>
      <c r="F15" s="10">
        <f t="shared" si="1"/>
        <v>94718.777000000002</v>
      </c>
      <c r="G15" s="10">
        <f>'Data sheet'!G9-'Data sheet'!H9</f>
        <v>7956.9500000000007</v>
      </c>
      <c r="H15" s="10">
        <f t="shared" si="2"/>
        <v>102675.727</v>
      </c>
      <c r="I15" s="9"/>
      <c r="J15" s="9"/>
      <c r="K15" s="10">
        <f>'Data sheet'!I9</f>
        <v>12207.44</v>
      </c>
      <c r="L15" s="10">
        <f>'Data sheet'!L9+'Data sheet'!M9</f>
        <v>3566.96</v>
      </c>
      <c r="M15" s="10">
        <f>'Data sheet'!K9</f>
        <v>2011.12</v>
      </c>
      <c r="N15" s="10"/>
      <c r="O15" s="11">
        <f t="shared" si="3"/>
        <v>8.4109139180696353</v>
      </c>
      <c r="P15" s="11">
        <f t="shared" si="0"/>
        <v>28.785219626797048</v>
      </c>
      <c r="Q15" s="11">
        <f t="shared" si="4"/>
        <v>47.097526254027613</v>
      </c>
    </row>
    <row r="16" spans="2:17">
      <c r="B16" s="9" t="str">
        <f>'Data sheet'!C10</f>
        <v>Lupin</v>
      </c>
      <c r="C16" s="9"/>
      <c r="D16" s="10">
        <f>'Data sheet'!D10</f>
        <v>1933.9</v>
      </c>
      <c r="E16" s="10">
        <f>'Data sheet'!E10</f>
        <v>45.67</v>
      </c>
      <c r="F16" s="10">
        <f t="shared" si="1"/>
        <v>88321.213000000003</v>
      </c>
      <c r="G16" s="10">
        <f>'Data sheet'!G10-'Data sheet'!H10</f>
        <v>2305.4400000000005</v>
      </c>
      <c r="H16" s="10">
        <f t="shared" si="2"/>
        <v>90626.653000000006</v>
      </c>
      <c r="I16" s="9"/>
      <c r="J16" s="9"/>
      <c r="K16" s="10">
        <f>'Data sheet'!I10</f>
        <v>22707.9</v>
      </c>
      <c r="L16" s="10">
        <f>'Data sheet'!L10+'Data sheet'!M10</f>
        <v>5479.13</v>
      </c>
      <c r="M16" s="10">
        <f>'Data sheet'!K10</f>
        <v>3306.26</v>
      </c>
      <c r="N16" s="10"/>
      <c r="O16" s="11">
        <f t="shared" si="3"/>
        <v>3.9909746387820979</v>
      </c>
      <c r="P16" s="11">
        <f t="shared" si="0"/>
        <v>16.540336330767843</v>
      </c>
      <c r="Q16" s="11">
        <f t="shared" si="4"/>
        <v>26.713329562708317</v>
      </c>
    </row>
    <row r="17" spans="2:17">
      <c r="B17" s="9" t="str">
        <f>'Data sheet'!C11</f>
        <v>Abbott India</v>
      </c>
      <c r="C17" s="9"/>
      <c r="D17" s="10">
        <f>'Data sheet'!D11</f>
        <v>30949</v>
      </c>
      <c r="E17" s="10">
        <f>'Data sheet'!E11</f>
        <v>2.12</v>
      </c>
      <c r="F17" s="10">
        <f t="shared" si="1"/>
        <v>65611.88</v>
      </c>
      <c r="G17" s="10">
        <f>'Data sheet'!G11-'Data sheet'!H11</f>
        <v>-1431.25</v>
      </c>
      <c r="H17" s="10">
        <f t="shared" si="2"/>
        <v>64180.630000000005</v>
      </c>
      <c r="I17" s="9"/>
      <c r="J17" s="9"/>
      <c r="K17" s="10">
        <f>'Data sheet'!I11</f>
        <v>6409.15</v>
      </c>
      <c r="L17" s="10">
        <f>'Data sheet'!L11+'Data sheet'!M11</f>
        <v>1970.18</v>
      </c>
      <c r="M17" s="10">
        <f>'Data sheet'!K11</f>
        <v>1414.44</v>
      </c>
      <c r="N17" s="10"/>
      <c r="O17" s="11">
        <f t="shared" si="3"/>
        <v>10.013906680293021</v>
      </c>
      <c r="P17" s="11">
        <f t="shared" si="0"/>
        <v>32.576023510542186</v>
      </c>
      <c r="Q17" s="11">
        <f t="shared" si="4"/>
        <v>46.387177964424083</v>
      </c>
    </row>
    <row r="18" spans="2:17">
      <c r="B18" s="9" t="str">
        <f>'Data sheet'!C12</f>
        <v>Aurobindo Pharma</v>
      </c>
      <c r="C18" s="9"/>
      <c r="D18" s="10">
        <f>'Data sheet'!D12</f>
        <v>1101.9000000000001</v>
      </c>
      <c r="E18" s="10">
        <f>'Data sheet'!E12</f>
        <v>58.59</v>
      </c>
      <c r="F18" s="10">
        <f t="shared" si="1"/>
        <v>64560.321000000011</v>
      </c>
      <c r="G18" s="10">
        <f>'Data sheet'!G12-'Data sheet'!H12</f>
        <v>27.380000000001019</v>
      </c>
      <c r="H18" s="10">
        <f t="shared" si="2"/>
        <v>64587.701000000015</v>
      </c>
      <c r="I18" s="9"/>
      <c r="J18" s="9"/>
      <c r="K18" s="10">
        <f>'Data sheet'!I12</f>
        <v>31723.73</v>
      </c>
      <c r="L18" s="10">
        <f>'Data sheet'!L12+'Data sheet'!M12</f>
        <v>7172.95</v>
      </c>
      <c r="M18" s="10">
        <f>'Data sheet'!K12</f>
        <v>3483.57</v>
      </c>
      <c r="N18" s="10"/>
      <c r="O18" s="11">
        <f t="shared" si="3"/>
        <v>2.0359428415258867</v>
      </c>
      <c r="P18" s="11">
        <f t="shared" si="0"/>
        <v>9.0043428435999164</v>
      </c>
      <c r="Q18" s="11">
        <f t="shared" si="4"/>
        <v>18.532804278369607</v>
      </c>
    </row>
    <row r="19" spans="2:17" ht="4.5" customHeight="1"/>
    <row r="20" spans="2:17">
      <c r="B20" s="12" t="s">
        <v>40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>
        <f>MAX(O9:O18)</f>
        <v>18.417292467948716</v>
      </c>
      <c r="P20" s="13">
        <f t="shared" ref="P20:Q20" si="5">MAX(P9:P18)</f>
        <v>51.923451054216862</v>
      </c>
      <c r="Q20" s="13">
        <f t="shared" si="5"/>
        <v>80.372824052943855</v>
      </c>
    </row>
    <row r="21" spans="2:17">
      <c r="B21" s="12" t="s">
        <v>41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>
        <f>QUARTILE(O9:O18,3)</f>
        <v>9.2509623280759374</v>
      </c>
      <c r="P21" s="13">
        <f t="shared" ref="P21:Q21" si="6">QUARTILE(P9:P18,3)</f>
        <v>29.1832335925967</v>
      </c>
      <c r="Q21" s="13">
        <f t="shared" si="6"/>
        <v>46.919939181626731</v>
      </c>
    </row>
    <row r="22" spans="2:17" ht="15">
      <c r="B22" s="14" t="s">
        <v>42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>
        <f>AVERAGE(O9:O18)</f>
        <v>7.1777851588741726</v>
      </c>
      <c r="P22" s="15">
        <f t="shared" ref="P22:Q22" si="7">AVERAGE(P9:P18)</f>
        <v>23.062192710122012</v>
      </c>
      <c r="Q22" s="15">
        <f t="shared" si="7"/>
        <v>37.428966570178723</v>
      </c>
    </row>
    <row r="23" spans="2:17" ht="15">
      <c r="B23" s="14" t="s">
        <v>43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>
        <f>MEDIAN(O9:O18)</f>
        <v>5.8912838928538305</v>
      </c>
      <c r="P23" s="15">
        <f t="shared" ref="P23:Q23" si="8">MEDIAN(P9:P18)</f>
        <v>19.571334033271857</v>
      </c>
      <c r="Q23" s="15">
        <f t="shared" si="8"/>
        <v>31.531256974518616</v>
      </c>
    </row>
    <row r="24" spans="2:17">
      <c r="B24" s="12" t="s">
        <v>44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3">
        <f>QUARTILE(O9:O18,1)</f>
        <v>4.0308599294555254</v>
      </c>
      <c r="P24" s="13">
        <f t="shared" ref="P24:Q24" si="9">QUARTILE(P9:P18,1)</f>
        <v>13.642101870752992</v>
      </c>
      <c r="Q24" s="13">
        <f t="shared" si="9"/>
        <v>21.174887692371033</v>
      </c>
    </row>
    <row r="25" spans="2:17">
      <c r="B25" s="12" t="s">
        <v>45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>
        <f>MIN(O9:O18)</f>
        <v>2.0359428415258867</v>
      </c>
      <c r="P25" s="13">
        <f t="shared" ref="P25:Q25" si="10">MIN(P9:P18)</f>
        <v>9.0043428435999164</v>
      </c>
      <c r="Q25" s="13">
        <f t="shared" si="10"/>
        <v>18.532804278369607</v>
      </c>
    </row>
    <row r="27" spans="2:17">
      <c r="B27" s="7" t="s">
        <v>46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 t="s">
        <v>14</v>
      </c>
      <c r="P27" s="6" t="s">
        <v>15</v>
      </c>
      <c r="Q27" s="6" t="s">
        <v>16</v>
      </c>
    </row>
    <row r="28" spans="2:17" ht="3.75" customHeight="1"/>
    <row r="29" spans="2:17">
      <c r="B29" s="9" t="s">
        <v>47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>
        <f>O23*K12</f>
        <v>192314.48226993118</v>
      </c>
      <c r="P29" s="10">
        <f>P23*L12</f>
        <v>189178.47189900911</v>
      </c>
      <c r="Q29" s="10">
        <f>Q31+Q30</f>
        <v>182739.15243051396</v>
      </c>
    </row>
    <row r="30" spans="2:17">
      <c r="B30" s="9" t="s">
        <v>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>
        <f>$G$12</f>
        <v>2216.4000000000005</v>
      </c>
      <c r="P30" s="10">
        <f t="shared" ref="P30:Q30" si="11">$G$12</f>
        <v>2216.4000000000005</v>
      </c>
      <c r="Q30" s="10">
        <f t="shared" si="11"/>
        <v>2216.4000000000005</v>
      </c>
    </row>
    <row r="31" spans="2:17">
      <c r="B31" s="9" t="s">
        <v>48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10">
        <f>O29-O30</f>
        <v>190098.08226993118</v>
      </c>
      <c r="P31" s="10">
        <f>P29-P30</f>
        <v>186962.07189900911</v>
      </c>
      <c r="Q31" s="10">
        <f>Q23*M12</f>
        <v>180522.75243051397</v>
      </c>
    </row>
    <row r="32" spans="2:17">
      <c r="B32" s="9" t="s">
        <v>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10">
        <f>$E$12</f>
        <v>83.46</v>
      </c>
      <c r="P32" s="10">
        <f t="shared" ref="P32:Q32" si="12">$E$12</f>
        <v>83.46</v>
      </c>
      <c r="Q32" s="10">
        <f t="shared" si="12"/>
        <v>83.46</v>
      </c>
    </row>
    <row r="33" spans="2:17" ht="4.5" customHeight="1">
      <c r="O33" s="8"/>
      <c r="P33" s="8"/>
      <c r="Q33" s="8"/>
    </row>
    <row r="34" spans="2:17" ht="15">
      <c r="B34" s="17" t="s">
        <v>49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8">
        <f>O31/O32</f>
        <v>2277.714860650985</v>
      </c>
      <c r="P34" s="18">
        <f t="shared" ref="P34:Q34" si="13">P31/P32</f>
        <v>2240.1398502157817</v>
      </c>
      <c r="Q34" s="18">
        <f t="shared" si="13"/>
        <v>2162.9852915230526</v>
      </c>
    </row>
  </sheetData>
  <mergeCells count="3">
    <mergeCell ref="D6:H6"/>
    <mergeCell ref="K6:M6"/>
    <mergeCell ref="O6:Q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2"/>
  <sheetViews>
    <sheetView topLeftCell="B1" workbookViewId="0">
      <selection activeCell="N19" sqref="N19"/>
    </sheetView>
  </sheetViews>
  <sheetFormatPr defaultRowHeight="14.25"/>
  <cols>
    <col min="2" max="2" width="5.75" bestFit="1" customWidth="1"/>
    <col min="3" max="3" width="18" bestFit="1" customWidth="1"/>
    <col min="4" max="4" width="8" bestFit="1" customWidth="1"/>
    <col min="5" max="5" width="16.75" bestFit="1" customWidth="1"/>
    <col min="6" max="6" width="14.375" bestFit="1" customWidth="1"/>
    <col min="7" max="7" width="10.625" bestFit="1" customWidth="1"/>
    <col min="8" max="8" width="14.875" bestFit="1" customWidth="1"/>
    <col min="9" max="9" width="11.25" bestFit="1" customWidth="1"/>
    <col min="10" max="10" width="10" bestFit="1" customWidth="1"/>
    <col min="11" max="11" width="13.25" bestFit="1" customWidth="1"/>
    <col min="12" max="12" width="14.375" bestFit="1" customWidth="1"/>
    <col min="13" max="13" width="14.125" bestFit="1" customWidth="1"/>
    <col min="14" max="14" width="10.875" bestFit="1" customWidth="1"/>
  </cols>
  <sheetData>
    <row r="2" spans="2:14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</row>
    <row r="3" spans="2:14">
      <c r="B3">
        <v>1</v>
      </c>
      <c r="C3" t="s">
        <v>30</v>
      </c>
      <c r="D3">
        <v>1661.15</v>
      </c>
      <c r="E3">
        <v>239.93</v>
      </c>
      <c r="F3">
        <v>398565.57</v>
      </c>
      <c r="G3">
        <v>2362.19</v>
      </c>
      <c r="H3">
        <v>11331.62</v>
      </c>
      <c r="I3">
        <v>52578.44</v>
      </c>
      <c r="J3">
        <v>389596.14</v>
      </c>
      <c r="K3">
        <v>10964.75</v>
      </c>
      <c r="L3">
        <v>14661.34</v>
      </c>
      <c r="M3">
        <v>2575.39</v>
      </c>
      <c r="N3">
        <v>22.6</v>
      </c>
    </row>
    <row r="4" spans="2:14">
      <c r="B4">
        <v>2</v>
      </c>
      <c r="C4" t="s">
        <v>31</v>
      </c>
      <c r="D4">
        <v>6632.65</v>
      </c>
      <c r="E4">
        <v>26.55</v>
      </c>
      <c r="F4">
        <v>176076.04</v>
      </c>
      <c r="G4">
        <v>4</v>
      </c>
      <c r="H4">
        <v>3715</v>
      </c>
      <c r="I4">
        <v>9360</v>
      </c>
      <c r="J4">
        <v>172365.04</v>
      </c>
      <c r="K4">
        <v>2191</v>
      </c>
      <c r="L4">
        <v>2918</v>
      </c>
      <c r="M4">
        <v>402</v>
      </c>
      <c r="N4">
        <v>51.92</v>
      </c>
    </row>
    <row r="5" spans="2:14">
      <c r="B5">
        <v>3</v>
      </c>
      <c r="C5" t="s">
        <v>32</v>
      </c>
      <c r="D5">
        <v>1495.9</v>
      </c>
      <c r="E5">
        <v>80.77</v>
      </c>
      <c r="F5">
        <v>120824.97</v>
      </c>
      <c r="G5">
        <v>438.19</v>
      </c>
      <c r="H5">
        <v>799.84</v>
      </c>
      <c r="I5">
        <v>27547.62</v>
      </c>
      <c r="J5">
        <v>120463.32</v>
      </c>
      <c r="K5">
        <v>5269.2</v>
      </c>
      <c r="L5">
        <v>6882.82</v>
      </c>
      <c r="M5">
        <v>1106.95</v>
      </c>
      <c r="N5">
        <v>15.08</v>
      </c>
    </row>
    <row r="6" spans="2:14">
      <c r="B6">
        <v>4</v>
      </c>
      <c r="C6" t="s">
        <v>33</v>
      </c>
      <c r="D6">
        <v>1320.8</v>
      </c>
      <c r="E6">
        <v>83.46</v>
      </c>
      <c r="F6">
        <v>110222.51</v>
      </c>
      <c r="G6">
        <v>4676.6000000000004</v>
      </c>
      <c r="H6">
        <v>2460.1999999999998</v>
      </c>
      <c r="I6">
        <v>32643.9</v>
      </c>
      <c r="J6">
        <v>112438.91</v>
      </c>
      <c r="K6">
        <v>5725.2</v>
      </c>
      <c r="L6">
        <v>7962.4</v>
      </c>
      <c r="M6">
        <v>1703.7</v>
      </c>
      <c r="N6">
        <v>11.63</v>
      </c>
    </row>
    <row r="7" spans="2:14">
      <c r="B7">
        <v>5</v>
      </c>
      <c r="C7" t="s">
        <v>34</v>
      </c>
      <c r="D7">
        <v>3165.95</v>
      </c>
      <c r="E7">
        <v>33.840000000000003</v>
      </c>
      <c r="F7">
        <v>107145.31</v>
      </c>
      <c r="G7">
        <v>3202</v>
      </c>
      <c r="H7">
        <v>579</v>
      </c>
      <c r="I7">
        <v>11516</v>
      </c>
      <c r="J7">
        <v>109768.31</v>
      </c>
      <c r="K7">
        <v>1911</v>
      </c>
      <c r="L7">
        <v>2949</v>
      </c>
      <c r="M7">
        <v>795</v>
      </c>
      <c r="N7">
        <v>29.32</v>
      </c>
    </row>
    <row r="8" spans="2:14">
      <c r="B8">
        <v>6</v>
      </c>
      <c r="C8" t="s">
        <v>35</v>
      </c>
      <c r="D8">
        <v>956.15</v>
      </c>
      <c r="E8">
        <v>100.62</v>
      </c>
      <c r="F8">
        <v>96211.05</v>
      </c>
      <c r="G8">
        <v>3213.2</v>
      </c>
      <c r="H8">
        <v>2956.8</v>
      </c>
      <c r="I8">
        <v>23241.5</v>
      </c>
      <c r="J8">
        <v>96467.45</v>
      </c>
      <c r="K8">
        <v>4672.6000000000004</v>
      </c>
      <c r="L8">
        <v>6412.2</v>
      </c>
      <c r="M8">
        <v>915.8</v>
      </c>
      <c r="N8">
        <v>13.16</v>
      </c>
    </row>
    <row r="9" spans="2:14">
      <c r="B9">
        <v>7</v>
      </c>
      <c r="C9" t="s">
        <v>36</v>
      </c>
      <c r="D9">
        <v>2295.1</v>
      </c>
      <c r="E9">
        <v>41.27</v>
      </c>
      <c r="F9">
        <v>94725.36</v>
      </c>
      <c r="G9">
        <v>8511.4500000000007</v>
      </c>
      <c r="H9">
        <v>554.5</v>
      </c>
      <c r="I9">
        <v>12207.44</v>
      </c>
      <c r="J9">
        <v>102682.31</v>
      </c>
      <c r="K9">
        <v>2011.12</v>
      </c>
      <c r="L9">
        <v>2945.74</v>
      </c>
      <c r="M9">
        <v>621.22</v>
      </c>
      <c r="N9">
        <v>28.79</v>
      </c>
    </row>
    <row r="10" spans="2:14">
      <c r="B10">
        <v>8</v>
      </c>
      <c r="C10" t="s">
        <v>37</v>
      </c>
      <c r="D10">
        <v>1933.9</v>
      </c>
      <c r="E10">
        <v>45.67</v>
      </c>
      <c r="F10">
        <v>88320.34</v>
      </c>
      <c r="G10">
        <v>5447.77</v>
      </c>
      <c r="H10">
        <v>3142.33</v>
      </c>
      <c r="I10">
        <v>22707.9</v>
      </c>
      <c r="J10">
        <v>90625.78</v>
      </c>
      <c r="K10">
        <v>3306.26</v>
      </c>
      <c r="L10">
        <v>4309.87</v>
      </c>
      <c r="M10">
        <v>1169.26</v>
      </c>
      <c r="N10">
        <v>16.54</v>
      </c>
    </row>
    <row r="11" spans="2:14">
      <c r="B11">
        <v>9</v>
      </c>
      <c r="C11" t="s">
        <v>38</v>
      </c>
      <c r="D11">
        <v>30949</v>
      </c>
      <c r="E11">
        <v>2.12</v>
      </c>
      <c r="F11">
        <v>65766.64</v>
      </c>
      <c r="G11">
        <v>196.67</v>
      </c>
      <c r="H11">
        <v>1627.92</v>
      </c>
      <c r="I11">
        <v>6409.15</v>
      </c>
      <c r="J11">
        <v>64335.39</v>
      </c>
      <c r="K11">
        <v>1414.44</v>
      </c>
      <c r="L11">
        <v>1898.38</v>
      </c>
      <c r="M11">
        <v>71.8</v>
      </c>
      <c r="N11">
        <v>32.65</v>
      </c>
    </row>
    <row r="12" spans="2:14">
      <c r="B12">
        <v>10</v>
      </c>
      <c r="C12" t="s">
        <v>39</v>
      </c>
      <c r="D12">
        <v>1101.9000000000001</v>
      </c>
      <c r="E12">
        <v>58.59</v>
      </c>
      <c r="F12">
        <v>64564.58</v>
      </c>
      <c r="G12">
        <v>8262.8700000000008</v>
      </c>
      <c r="H12">
        <v>8235.49</v>
      </c>
      <c r="I12">
        <v>31723.73</v>
      </c>
      <c r="J12">
        <v>64591.96</v>
      </c>
      <c r="K12">
        <v>3483.57</v>
      </c>
      <c r="L12">
        <v>5523.53</v>
      </c>
      <c r="M12">
        <v>1649.42</v>
      </c>
      <c r="N1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Implied value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Account</dc:creator>
  <cp:lastModifiedBy>Akhtar</cp:lastModifiedBy>
  <dcterms:created xsi:type="dcterms:W3CDTF">2025-06-23T08:47:36Z</dcterms:created>
  <dcterms:modified xsi:type="dcterms:W3CDTF">2025-06-23T15:30:11Z</dcterms:modified>
</cp:coreProperties>
</file>