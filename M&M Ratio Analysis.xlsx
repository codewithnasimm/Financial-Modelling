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ks3\Desktop\"/>
    </mc:Choice>
  </mc:AlternateContent>
  <xr:revisionPtr revIDLastSave="0" documentId="13_ncr:1_{F5D44C38-A6B7-4035-A2B8-7C55BB7B50EC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Data Sheet" sheetId="6" r:id="rId1"/>
    <sheet name="Cash Flow Data" sheetId="8" r:id="rId2"/>
    <sheet name="FS Analysis" sheetId="7" r:id="rId3"/>
    <sheet name="Ratio Analysis" sheetId="9" r:id="rId4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40" i="9" l="1"/>
  <c r="O39" i="9"/>
  <c r="O38" i="9"/>
  <c r="O36" i="9"/>
  <c r="O35" i="9"/>
  <c r="O34" i="9"/>
  <c r="O33" i="9"/>
  <c r="O31" i="9"/>
  <c r="O30" i="9"/>
  <c r="O29" i="9"/>
  <c r="O28" i="9"/>
  <c r="O27" i="9"/>
  <c r="O25" i="9"/>
  <c r="O24" i="9"/>
  <c r="O23" i="9"/>
  <c r="O22" i="9"/>
  <c r="O21" i="9"/>
  <c r="O19" i="9"/>
  <c r="O18" i="9"/>
  <c r="O17" i="9"/>
  <c r="O15" i="9"/>
  <c r="O14" i="9"/>
  <c r="O13" i="9"/>
  <c r="O12" i="9"/>
  <c r="O11" i="9"/>
  <c r="O9" i="9"/>
  <c r="O8" i="9"/>
  <c r="O7" i="9"/>
  <c r="O6" i="9"/>
  <c r="O5" i="9"/>
  <c r="N40" i="9"/>
  <c r="N39" i="9"/>
  <c r="N38" i="9"/>
  <c r="N36" i="9"/>
  <c r="N35" i="9"/>
  <c r="N34" i="9"/>
  <c r="N33" i="9"/>
  <c r="N31" i="9"/>
  <c r="N30" i="9"/>
  <c r="N29" i="9"/>
  <c r="N28" i="9"/>
  <c r="N27" i="9"/>
  <c r="N25" i="9"/>
  <c r="N24" i="9"/>
  <c r="N23" i="9"/>
  <c r="N22" i="9"/>
  <c r="N21" i="9"/>
  <c r="N19" i="9"/>
  <c r="N18" i="9"/>
  <c r="N17" i="9"/>
  <c r="N15" i="9"/>
  <c r="N14" i="9"/>
  <c r="N13" i="9"/>
  <c r="N12" i="9"/>
  <c r="N11" i="9"/>
  <c r="N9" i="9"/>
  <c r="N8" i="9"/>
  <c r="N7" i="9"/>
  <c r="N6" i="9"/>
  <c r="N5" i="9"/>
  <c r="L40" i="9"/>
  <c r="K40" i="9"/>
  <c r="J40" i="9"/>
  <c r="I40" i="9"/>
  <c r="H40" i="9"/>
  <c r="G40" i="9"/>
  <c r="F40" i="9"/>
  <c r="E40" i="9"/>
  <c r="D40" i="9"/>
  <c r="L39" i="9"/>
  <c r="K39" i="9"/>
  <c r="J39" i="9"/>
  <c r="I39" i="9"/>
  <c r="H39" i="9"/>
  <c r="G39" i="9"/>
  <c r="F39" i="9"/>
  <c r="E39" i="9"/>
  <c r="D39" i="9"/>
  <c r="C40" i="9"/>
  <c r="C39" i="9"/>
  <c r="L38" i="9"/>
  <c r="K38" i="9"/>
  <c r="J38" i="9"/>
  <c r="I38" i="9"/>
  <c r="H38" i="9"/>
  <c r="G38" i="9"/>
  <c r="F38" i="9"/>
  <c r="E38" i="9"/>
  <c r="D38" i="9"/>
  <c r="C38" i="9"/>
  <c r="L36" i="9"/>
  <c r="K36" i="9"/>
  <c r="J36" i="9"/>
  <c r="I36" i="9"/>
  <c r="H36" i="9"/>
  <c r="G36" i="9"/>
  <c r="F36" i="9"/>
  <c r="E36" i="9"/>
  <c r="D36" i="9"/>
  <c r="C36" i="9"/>
  <c r="L35" i="9"/>
  <c r="K35" i="9"/>
  <c r="J35" i="9"/>
  <c r="I35" i="9"/>
  <c r="H35" i="9"/>
  <c r="G35" i="9"/>
  <c r="F35" i="9"/>
  <c r="E35" i="9"/>
  <c r="D35" i="9"/>
  <c r="C35" i="9"/>
  <c r="L34" i="9"/>
  <c r="K34" i="9"/>
  <c r="J34" i="9"/>
  <c r="I34" i="9"/>
  <c r="H34" i="9"/>
  <c r="G34" i="9"/>
  <c r="F34" i="9"/>
  <c r="E34" i="9"/>
  <c r="D34" i="9"/>
  <c r="C34" i="9"/>
  <c r="L33" i="9"/>
  <c r="K33" i="9"/>
  <c r="J33" i="9"/>
  <c r="I33" i="9"/>
  <c r="H33" i="9"/>
  <c r="G33" i="9"/>
  <c r="F33" i="9"/>
  <c r="E33" i="9"/>
  <c r="D33" i="9"/>
  <c r="C33" i="9"/>
  <c r="L31" i="9"/>
  <c r="K31" i="9"/>
  <c r="J31" i="9"/>
  <c r="I31" i="9"/>
  <c r="H31" i="9"/>
  <c r="G31" i="9"/>
  <c r="F31" i="9"/>
  <c r="E31" i="9"/>
  <c r="D31" i="9"/>
  <c r="C31" i="9"/>
  <c r="L30" i="9"/>
  <c r="K30" i="9"/>
  <c r="J30" i="9"/>
  <c r="I30" i="9"/>
  <c r="H30" i="9"/>
  <c r="G30" i="9"/>
  <c r="F30" i="9"/>
  <c r="E30" i="9"/>
  <c r="D30" i="9"/>
  <c r="C30" i="9"/>
  <c r="L29" i="9"/>
  <c r="K29" i="9"/>
  <c r="J29" i="9"/>
  <c r="I29" i="9"/>
  <c r="H29" i="9"/>
  <c r="G29" i="9"/>
  <c r="F29" i="9"/>
  <c r="E29" i="9"/>
  <c r="D29" i="9"/>
  <c r="C29" i="9"/>
  <c r="L28" i="9"/>
  <c r="K28" i="9"/>
  <c r="J28" i="9"/>
  <c r="I28" i="9"/>
  <c r="H28" i="9"/>
  <c r="G28" i="9"/>
  <c r="F28" i="9"/>
  <c r="E28" i="9"/>
  <c r="D28" i="9"/>
  <c r="C28" i="9"/>
  <c r="L27" i="9"/>
  <c r="K27" i="9"/>
  <c r="J27" i="9"/>
  <c r="I27" i="9"/>
  <c r="H27" i="9"/>
  <c r="G27" i="9"/>
  <c r="F27" i="9"/>
  <c r="E27" i="9"/>
  <c r="D27" i="9"/>
  <c r="C27" i="9"/>
  <c r="L25" i="9"/>
  <c r="K25" i="9"/>
  <c r="J25" i="9"/>
  <c r="I25" i="9"/>
  <c r="H25" i="9"/>
  <c r="G25" i="9"/>
  <c r="F25" i="9"/>
  <c r="E25" i="9"/>
  <c r="D25" i="9"/>
  <c r="C25" i="9"/>
  <c r="L24" i="9"/>
  <c r="K24" i="9"/>
  <c r="J24" i="9"/>
  <c r="I24" i="9"/>
  <c r="H24" i="9"/>
  <c r="G24" i="9"/>
  <c r="F24" i="9"/>
  <c r="E24" i="9"/>
  <c r="D24" i="9"/>
  <c r="C24" i="9"/>
  <c r="L23" i="9"/>
  <c r="K23" i="9"/>
  <c r="J23" i="9"/>
  <c r="I23" i="9"/>
  <c r="H23" i="9"/>
  <c r="G23" i="9"/>
  <c r="F23" i="9"/>
  <c r="E23" i="9"/>
  <c r="D23" i="9"/>
  <c r="C23" i="9"/>
  <c r="C21" i="9"/>
  <c r="D21" i="9"/>
  <c r="E21" i="9"/>
  <c r="F21" i="9"/>
  <c r="G21" i="9"/>
  <c r="H21" i="9"/>
  <c r="I21" i="9"/>
  <c r="J21" i="9"/>
  <c r="K21" i="9"/>
  <c r="L21" i="9"/>
  <c r="L22" i="9"/>
  <c r="K22" i="9"/>
  <c r="J22" i="9"/>
  <c r="I22" i="9"/>
  <c r="H22" i="9"/>
  <c r="G22" i="9"/>
  <c r="F22" i="9"/>
  <c r="E22" i="9"/>
  <c r="D22" i="9"/>
  <c r="C22" i="9"/>
  <c r="L19" i="9"/>
  <c r="K19" i="9"/>
  <c r="J19" i="9"/>
  <c r="I19" i="9"/>
  <c r="H19" i="9"/>
  <c r="G19" i="9"/>
  <c r="F19" i="9"/>
  <c r="E19" i="9"/>
  <c r="D19" i="9"/>
  <c r="L18" i="9"/>
  <c r="K18" i="9"/>
  <c r="J18" i="9"/>
  <c r="I18" i="9"/>
  <c r="H18" i="9"/>
  <c r="G18" i="9"/>
  <c r="F18" i="9"/>
  <c r="E18" i="9"/>
  <c r="D18" i="9"/>
  <c r="L17" i="9"/>
  <c r="K17" i="9"/>
  <c r="J17" i="9"/>
  <c r="I17" i="9"/>
  <c r="H17" i="9"/>
  <c r="G17" i="9"/>
  <c r="F17" i="9"/>
  <c r="E17" i="9"/>
  <c r="D17" i="9"/>
  <c r="C19" i="9"/>
  <c r="C18" i="9"/>
  <c r="C17" i="9"/>
  <c r="L15" i="9"/>
  <c r="K15" i="9"/>
  <c r="J15" i="9"/>
  <c r="I15" i="9"/>
  <c r="H15" i="9"/>
  <c r="G15" i="9"/>
  <c r="F15" i="9"/>
  <c r="E15" i="9"/>
  <c r="D15" i="9"/>
  <c r="C15" i="9"/>
  <c r="L14" i="9"/>
  <c r="K14" i="9"/>
  <c r="J14" i="9"/>
  <c r="I14" i="9"/>
  <c r="H14" i="9"/>
  <c r="G14" i="9"/>
  <c r="F14" i="9"/>
  <c r="E14" i="9"/>
  <c r="D14" i="9"/>
  <c r="C14" i="9"/>
  <c r="L13" i="9"/>
  <c r="K13" i="9"/>
  <c r="J13" i="9"/>
  <c r="I13" i="9"/>
  <c r="H13" i="9"/>
  <c r="G13" i="9"/>
  <c r="F13" i="9"/>
  <c r="E13" i="9"/>
  <c r="D13" i="9"/>
  <c r="C13" i="9"/>
  <c r="L12" i="9"/>
  <c r="K12" i="9"/>
  <c r="J12" i="9"/>
  <c r="I12" i="9"/>
  <c r="H12" i="9"/>
  <c r="G12" i="9"/>
  <c r="F12" i="9"/>
  <c r="E12" i="9"/>
  <c r="D12" i="9"/>
  <c r="C12" i="9"/>
  <c r="L11" i="9"/>
  <c r="K11" i="9"/>
  <c r="J11" i="9"/>
  <c r="I11" i="9"/>
  <c r="H11" i="9"/>
  <c r="G11" i="9"/>
  <c r="F11" i="9"/>
  <c r="E11" i="9"/>
  <c r="D11" i="9"/>
  <c r="C11" i="9"/>
  <c r="L9" i="9"/>
  <c r="K9" i="9"/>
  <c r="J9" i="9"/>
  <c r="I9" i="9"/>
  <c r="H9" i="9"/>
  <c r="G9" i="9"/>
  <c r="F9" i="9"/>
  <c r="E9" i="9"/>
  <c r="D9" i="9"/>
  <c r="L8" i="9"/>
  <c r="K8" i="9"/>
  <c r="J8" i="9"/>
  <c r="I8" i="9"/>
  <c r="H8" i="9"/>
  <c r="G8" i="9"/>
  <c r="F8" i="9"/>
  <c r="E8" i="9"/>
  <c r="D8" i="9"/>
  <c r="L7" i="9"/>
  <c r="K7" i="9"/>
  <c r="J7" i="9"/>
  <c r="I7" i="9"/>
  <c r="H7" i="9"/>
  <c r="G7" i="9"/>
  <c r="F7" i="9"/>
  <c r="E7" i="9"/>
  <c r="D7" i="9"/>
  <c r="L6" i="9"/>
  <c r="K6" i="9"/>
  <c r="J6" i="9"/>
  <c r="I6" i="9"/>
  <c r="H6" i="9"/>
  <c r="G6" i="9"/>
  <c r="F6" i="9"/>
  <c r="E6" i="9"/>
  <c r="D6" i="9"/>
  <c r="L5" i="9"/>
  <c r="K5" i="9"/>
  <c r="J5" i="9"/>
  <c r="I5" i="9"/>
  <c r="H5" i="9"/>
  <c r="G5" i="9"/>
  <c r="F5" i="9"/>
  <c r="E5" i="9"/>
  <c r="D5" i="9"/>
  <c r="B2" i="9"/>
  <c r="L3" i="9"/>
  <c r="K3" i="9"/>
  <c r="J3" i="9"/>
  <c r="I3" i="9"/>
  <c r="H3" i="9"/>
  <c r="G3" i="9"/>
  <c r="F3" i="9"/>
  <c r="E3" i="9"/>
  <c r="D3" i="9"/>
  <c r="C3" i="9"/>
  <c r="D38" i="7" l="1"/>
  <c r="B2" i="7"/>
  <c r="L104" i="7"/>
  <c r="K104" i="7"/>
  <c r="J104" i="7"/>
  <c r="I104" i="7"/>
  <c r="H104" i="7"/>
  <c r="G104" i="7"/>
  <c r="F104" i="7"/>
  <c r="E104" i="7"/>
  <c r="D104" i="7"/>
  <c r="C104" i="7"/>
  <c r="B104" i="7"/>
  <c r="L101" i="7"/>
  <c r="K101" i="7"/>
  <c r="J101" i="7"/>
  <c r="I101" i="7"/>
  <c r="H101" i="7"/>
  <c r="G101" i="7"/>
  <c r="F101" i="7"/>
  <c r="E101" i="7"/>
  <c r="D101" i="7"/>
  <c r="C101" i="7"/>
  <c r="B101" i="7"/>
  <c r="L100" i="7"/>
  <c r="K100" i="7"/>
  <c r="J100" i="7"/>
  <c r="I100" i="7"/>
  <c r="H100" i="7"/>
  <c r="G100" i="7"/>
  <c r="F100" i="7"/>
  <c r="E100" i="7"/>
  <c r="D100" i="7"/>
  <c r="C100" i="7"/>
  <c r="B100" i="7"/>
  <c r="L99" i="7"/>
  <c r="K99" i="7"/>
  <c r="J99" i="7"/>
  <c r="I99" i="7"/>
  <c r="H99" i="7"/>
  <c r="G99" i="7"/>
  <c r="F99" i="7"/>
  <c r="E99" i="7"/>
  <c r="D99" i="7"/>
  <c r="C99" i="7"/>
  <c r="B99" i="7"/>
  <c r="L98" i="7"/>
  <c r="K98" i="7"/>
  <c r="J98" i="7"/>
  <c r="I98" i="7"/>
  <c r="H98" i="7"/>
  <c r="G98" i="7"/>
  <c r="F98" i="7"/>
  <c r="E98" i="7"/>
  <c r="D98" i="7"/>
  <c r="C98" i="7"/>
  <c r="B98" i="7"/>
  <c r="L97" i="7"/>
  <c r="K97" i="7"/>
  <c r="J97" i="7"/>
  <c r="I97" i="7"/>
  <c r="H97" i="7"/>
  <c r="G97" i="7"/>
  <c r="F97" i="7"/>
  <c r="E97" i="7"/>
  <c r="D97" i="7"/>
  <c r="C97" i="7"/>
  <c r="B97" i="7"/>
  <c r="L96" i="7"/>
  <c r="K96" i="7"/>
  <c r="K102" i="7" s="1"/>
  <c r="J96" i="7"/>
  <c r="I96" i="7"/>
  <c r="I102" i="7" s="1"/>
  <c r="H96" i="7"/>
  <c r="G96" i="7"/>
  <c r="G102" i="7" s="1"/>
  <c r="F96" i="7"/>
  <c r="E96" i="7"/>
  <c r="E102" i="7" s="1"/>
  <c r="D96" i="7"/>
  <c r="C96" i="7"/>
  <c r="C102" i="7" s="1"/>
  <c r="B96" i="7"/>
  <c r="L95" i="7"/>
  <c r="L102" i="7" s="1"/>
  <c r="K95" i="7"/>
  <c r="J95" i="7"/>
  <c r="J102" i="7" s="1"/>
  <c r="I95" i="7"/>
  <c r="H95" i="7"/>
  <c r="H102" i="7" s="1"/>
  <c r="G95" i="7"/>
  <c r="F95" i="7"/>
  <c r="F102" i="7" s="1"/>
  <c r="E95" i="7"/>
  <c r="D95" i="7"/>
  <c r="D102" i="7" s="1"/>
  <c r="C95" i="7"/>
  <c r="B95" i="7"/>
  <c r="L91" i="7"/>
  <c r="K91" i="7"/>
  <c r="J91" i="7"/>
  <c r="I91" i="7"/>
  <c r="H91" i="7"/>
  <c r="G91" i="7"/>
  <c r="F91" i="7"/>
  <c r="E91" i="7"/>
  <c r="D91" i="7"/>
  <c r="C91" i="7"/>
  <c r="B91" i="7"/>
  <c r="L90" i="7"/>
  <c r="K90" i="7"/>
  <c r="J90" i="7"/>
  <c r="I90" i="7"/>
  <c r="H90" i="7"/>
  <c r="G90" i="7"/>
  <c r="F90" i="7"/>
  <c r="E90" i="7"/>
  <c r="D90" i="7"/>
  <c r="C90" i="7"/>
  <c r="B90" i="7"/>
  <c r="L89" i="7"/>
  <c r="K89" i="7"/>
  <c r="J89" i="7"/>
  <c r="I89" i="7"/>
  <c r="H89" i="7"/>
  <c r="G89" i="7"/>
  <c r="F89" i="7"/>
  <c r="E89" i="7"/>
  <c r="D89" i="7"/>
  <c r="C89" i="7"/>
  <c r="B89" i="7"/>
  <c r="L88" i="7"/>
  <c r="K88" i="7"/>
  <c r="J88" i="7"/>
  <c r="I88" i="7"/>
  <c r="H88" i="7"/>
  <c r="G88" i="7"/>
  <c r="F88" i="7"/>
  <c r="E88" i="7"/>
  <c r="D88" i="7"/>
  <c r="C88" i="7"/>
  <c r="B88" i="7"/>
  <c r="L87" i="7"/>
  <c r="K87" i="7"/>
  <c r="J87" i="7"/>
  <c r="I87" i="7"/>
  <c r="H87" i="7"/>
  <c r="G87" i="7"/>
  <c r="F87" i="7"/>
  <c r="E87" i="7"/>
  <c r="D87" i="7"/>
  <c r="C87" i="7"/>
  <c r="B87" i="7"/>
  <c r="L86" i="7"/>
  <c r="K86" i="7"/>
  <c r="J86" i="7"/>
  <c r="I86" i="7"/>
  <c r="H86" i="7"/>
  <c r="G86" i="7"/>
  <c r="F86" i="7"/>
  <c r="E86" i="7"/>
  <c r="D86" i="7"/>
  <c r="C86" i="7"/>
  <c r="B86" i="7"/>
  <c r="L85" i="7"/>
  <c r="K85" i="7"/>
  <c r="J85" i="7"/>
  <c r="I85" i="7"/>
  <c r="H85" i="7"/>
  <c r="G85" i="7"/>
  <c r="F85" i="7"/>
  <c r="E85" i="7"/>
  <c r="D85" i="7"/>
  <c r="C85" i="7"/>
  <c r="B85" i="7"/>
  <c r="L84" i="7"/>
  <c r="K84" i="7"/>
  <c r="J84" i="7"/>
  <c r="I84" i="7"/>
  <c r="H84" i="7"/>
  <c r="G84" i="7"/>
  <c r="F84" i="7"/>
  <c r="E84" i="7"/>
  <c r="D84" i="7"/>
  <c r="C84" i="7"/>
  <c r="B84" i="7"/>
  <c r="L83" i="7"/>
  <c r="K83" i="7"/>
  <c r="J83" i="7"/>
  <c r="I83" i="7"/>
  <c r="H83" i="7"/>
  <c r="G83" i="7"/>
  <c r="F83" i="7"/>
  <c r="E83" i="7"/>
  <c r="D83" i="7"/>
  <c r="C83" i="7"/>
  <c r="B83" i="7"/>
  <c r="L82" i="7"/>
  <c r="K82" i="7"/>
  <c r="J82" i="7"/>
  <c r="I82" i="7"/>
  <c r="H82" i="7"/>
  <c r="G82" i="7"/>
  <c r="F82" i="7"/>
  <c r="E82" i="7"/>
  <c r="D82" i="7"/>
  <c r="C82" i="7"/>
  <c r="B82" i="7"/>
  <c r="L81" i="7"/>
  <c r="K81" i="7"/>
  <c r="K92" i="7" s="1"/>
  <c r="J81" i="7"/>
  <c r="I81" i="7"/>
  <c r="H81" i="7"/>
  <c r="G81" i="7"/>
  <c r="G92" i="7" s="1"/>
  <c r="F81" i="7"/>
  <c r="E81" i="7"/>
  <c r="D81" i="7"/>
  <c r="C81" i="7"/>
  <c r="C92" i="7" s="1"/>
  <c r="B81" i="7"/>
  <c r="L80" i="7"/>
  <c r="K80" i="7"/>
  <c r="J80" i="7"/>
  <c r="J92" i="7" s="1"/>
  <c r="I80" i="7"/>
  <c r="H80" i="7"/>
  <c r="G80" i="7"/>
  <c r="F80" i="7"/>
  <c r="F92" i="7" s="1"/>
  <c r="E80" i="7"/>
  <c r="D80" i="7"/>
  <c r="C80" i="7"/>
  <c r="B80" i="7"/>
  <c r="L76" i="7"/>
  <c r="K76" i="7"/>
  <c r="J76" i="7"/>
  <c r="I76" i="7"/>
  <c r="H76" i="7"/>
  <c r="G76" i="7"/>
  <c r="F76" i="7"/>
  <c r="E76" i="7"/>
  <c r="D76" i="7"/>
  <c r="C76" i="7"/>
  <c r="B76" i="7"/>
  <c r="L75" i="7"/>
  <c r="K75" i="7"/>
  <c r="J75" i="7"/>
  <c r="I75" i="7"/>
  <c r="H75" i="7"/>
  <c r="G75" i="7"/>
  <c r="F75" i="7"/>
  <c r="E75" i="7"/>
  <c r="D75" i="7"/>
  <c r="C75" i="7"/>
  <c r="B75" i="7"/>
  <c r="L74" i="7"/>
  <c r="K74" i="7"/>
  <c r="J74" i="7"/>
  <c r="I74" i="7"/>
  <c r="H74" i="7"/>
  <c r="G74" i="7"/>
  <c r="F74" i="7"/>
  <c r="E74" i="7"/>
  <c r="D74" i="7"/>
  <c r="C74" i="7"/>
  <c r="B74" i="7"/>
  <c r="L73" i="7"/>
  <c r="K73" i="7"/>
  <c r="J73" i="7"/>
  <c r="I73" i="7"/>
  <c r="H73" i="7"/>
  <c r="G73" i="7"/>
  <c r="F73" i="7"/>
  <c r="E73" i="7"/>
  <c r="D73" i="7"/>
  <c r="C73" i="7"/>
  <c r="B73" i="7"/>
  <c r="L72" i="7"/>
  <c r="K72" i="7"/>
  <c r="J72" i="7"/>
  <c r="I72" i="7"/>
  <c r="H72" i="7"/>
  <c r="G72" i="7"/>
  <c r="F72" i="7"/>
  <c r="E72" i="7"/>
  <c r="D72" i="7"/>
  <c r="C72" i="7"/>
  <c r="B72" i="7"/>
  <c r="L71" i="7"/>
  <c r="K71" i="7"/>
  <c r="J71" i="7"/>
  <c r="I71" i="7"/>
  <c r="H71" i="7"/>
  <c r="G71" i="7"/>
  <c r="F71" i="7"/>
  <c r="E71" i="7"/>
  <c r="D71" i="7"/>
  <c r="C71" i="7"/>
  <c r="B71" i="7"/>
  <c r="L70" i="7"/>
  <c r="K70" i="7"/>
  <c r="J70" i="7"/>
  <c r="I70" i="7"/>
  <c r="H70" i="7"/>
  <c r="G70" i="7"/>
  <c r="F70" i="7"/>
  <c r="E70" i="7"/>
  <c r="D70" i="7"/>
  <c r="C70" i="7"/>
  <c r="B70" i="7"/>
  <c r="L69" i="7"/>
  <c r="K69" i="7"/>
  <c r="J69" i="7"/>
  <c r="J77" i="7" s="1"/>
  <c r="I69" i="7"/>
  <c r="H69" i="7"/>
  <c r="G69" i="7"/>
  <c r="F69" i="7"/>
  <c r="F77" i="7" s="1"/>
  <c r="E69" i="7"/>
  <c r="D69" i="7"/>
  <c r="C69" i="7"/>
  <c r="B69" i="7"/>
  <c r="M6" i="8"/>
  <c r="L55" i="7"/>
  <c r="K55" i="7"/>
  <c r="J55" i="7"/>
  <c r="I55" i="7"/>
  <c r="H55" i="7"/>
  <c r="G55" i="7"/>
  <c r="F55" i="7"/>
  <c r="E55" i="7"/>
  <c r="D55" i="7"/>
  <c r="C55" i="7"/>
  <c r="B48" i="7"/>
  <c r="L60" i="7"/>
  <c r="K60" i="7"/>
  <c r="J60" i="7"/>
  <c r="I60" i="7"/>
  <c r="H60" i="7"/>
  <c r="G60" i="7"/>
  <c r="F60" i="7"/>
  <c r="E60" i="7"/>
  <c r="D60" i="7"/>
  <c r="C60" i="7"/>
  <c r="B60" i="7"/>
  <c r="L59" i="7"/>
  <c r="K59" i="7"/>
  <c r="J59" i="7"/>
  <c r="I59" i="7"/>
  <c r="H59" i="7"/>
  <c r="G59" i="7"/>
  <c r="F59" i="7"/>
  <c r="E59" i="7"/>
  <c r="D59" i="7"/>
  <c r="C59" i="7"/>
  <c r="B59" i="7"/>
  <c r="L58" i="7"/>
  <c r="K58" i="7"/>
  <c r="J58" i="7"/>
  <c r="I58" i="7"/>
  <c r="H58" i="7"/>
  <c r="G58" i="7"/>
  <c r="F58" i="7"/>
  <c r="E58" i="7"/>
  <c r="D58" i="7"/>
  <c r="C58" i="7"/>
  <c r="B58" i="7"/>
  <c r="B55" i="7"/>
  <c r="L54" i="7"/>
  <c r="K54" i="7"/>
  <c r="J54" i="7"/>
  <c r="I54" i="7"/>
  <c r="H54" i="7"/>
  <c r="G54" i="7"/>
  <c r="F54" i="7"/>
  <c r="E54" i="7"/>
  <c r="D54" i="7"/>
  <c r="C54" i="7"/>
  <c r="B54" i="7"/>
  <c r="L53" i="7"/>
  <c r="K53" i="7"/>
  <c r="J53" i="7"/>
  <c r="I53" i="7"/>
  <c r="H53" i="7"/>
  <c r="G53" i="7"/>
  <c r="F53" i="7"/>
  <c r="E53" i="7"/>
  <c r="D53" i="7"/>
  <c r="C53" i="7"/>
  <c r="B53" i="7"/>
  <c r="L52" i="7"/>
  <c r="K52" i="7"/>
  <c r="J52" i="7"/>
  <c r="I52" i="7"/>
  <c r="H52" i="7"/>
  <c r="G52" i="7"/>
  <c r="F52" i="7"/>
  <c r="E52" i="7"/>
  <c r="D52" i="7"/>
  <c r="C52" i="7"/>
  <c r="B52" i="7"/>
  <c r="L50" i="7"/>
  <c r="K50" i="7"/>
  <c r="J50" i="7"/>
  <c r="I50" i="7"/>
  <c r="H50" i="7"/>
  <c r="G50" i="7"/>
  <c r="F50" i="7"/>
  <c r="E50" i="7"/>
  <c r="D50" i="7"/>
  <c r="C50" i="7"/>
  <c r="L49" i="7"/>
  <c r="K49" i="7"/>
  <c r="J49" i="7"/>
  <c r="I49" i="7"/>
  <c r="H49" i="7"/>
  <c r="G49" i="7"/>
  <c r="F49" i="7"/>
  <c r="E49" i="7"/>
  <c r="D49" i="7"/>
  <c r="C49" i="7"/>
  <c r="B49" i="7"/>
  <c r="L48" i="7"/>
  <c r="K48" i="7"/>
  <c r="J48" i="7"/>
  <c r="I48" i="7"/>
  <c r="H48" i="7"/>
  <c r="G48" i="7"/>
  <c r="F48" i="7"/>
  <c r="E48" i="7"/>
  <c r="D48" i="7"/>
  <c r="C48" i="7"/>
  <c r="L47" i="7"/>
  <c r="K47" i="7"/>
  <c r="J47" i="7"/>
  <c r="I47" i="7"/>
  <c r="H47" i="7"/>
  <c r="G47" i="7"/>
  <c r="F47" i="7"/>
  <c r="E47" i="7"/>
  <c r="D47" i="7"/>
  <c r="C47" i="7"/>
  <c r="B47" i="7"/>
  <c r="L46" i="7"/>
  <c r="K46" i="7"/>
  <c r="J46" i="7"/>
  <c r="I46" i="7"/>
  <c r="H46" i="7"/>
  <c r="G46" i="7"/>
  <c r="F46" i="7"/>
  <c r="E46" i="7"/>
  <c r="D46" i="7"/>
  <c r="C46" i="7"/>
  <c r="B46" i="7"/>
  <c r="L35" i="7"/>
  <c r="L40" i="7" s="1"/>
  <c r="K35" i="7"/>
  <c r="K40" i="7" s="1"/>
  <c r="J35" i="7"/>
  <c r="J40" i="7" s="1"/>
  <c r="I35" i="7"/>
  <c r="I40" i="7" s="1"/>
  <c r="H35" i="7"/>
  <c r="H40" i="7" s="1"/>
  <c r="G35" i="7"/>
  <c r="G40" i="7" s="1"/>
  <c r="F35" i="7"/>
  <c r="F40" i="7" s="1"/>
  <c r="E35" i="7"/>
  <c r="E40" i="7" s="1"/>
  <c r="D35" i="7"/>
  <c r="D40" i="7" s="1"/>
  <c r="C35" i="7"/>
  <c r="C40" i="7" s="1"/>
  <c r="L32" i="7"/>
  <c r="L37" i="7" s="1"/>
  <c r="K32" i="7"/>
  <c r="K37" i="7" s="1"/>
  <c r="J32" i="7"/>
  <c r="J37" i="7" s="1"/>
  <c r="I32" i="7"/>
  <c r="H32" i="7"/>
  <c r="H37" i="7" s="1"/>
  <c r="G32" i="7"/>
  <c r="G37" i="7" s="1"/>
  <c r="F32" i="7"/>
  <c r="F37" i="7" s="1"/>
  <c r="E32" i="7"/>
  <c r="D32" i="7"/>
  <c r="D37" i="7" s="1"/>
  <c r="C32" i="7"/>
  <c r="C37" i="7" s="1"/>
  <c r="L29" i="7"/>
  <c r="K29" i="7"/>
  <c r="J29" i="7"/>
  <c r="I29" i="7"/>
  <c r="H29" i="7"/>
  <c r="G29" i="7"/>
  <c r="F29" i="7"/>
  <c r="E29" i="7"/>
  <c r="D29" i="7"/>
  <c r="C29" i="7"/>
  <c r="L23" i="7"/>
  <c r="K23" i="7"/>
  <c r="J23" i="7"/>
  <c r="I23" i="7"/>
  <c r="H23" i="7"/>
  <c r="G23" i="7"/>
  <c r="F23" i="7"/>
  <c r="E23" i="7"/>
  <c r="D23" i="7"/>
  <c r="C23" i="7"/>
  <c r="C24" i="7" s="1"/>
  <c r="L20" i="7"/>
  <c r="K20" i="7"/>
  <c r="J20" i="7"/>
  <c r="I20" i="7"/>
  <c r="H20" i="7"/>
  <c r="G20" i="7"/>
  <c r="F20" i="7"/>
  <c r="E20" i="7"/>
  <c r="D20" i="7"/>
  <c r="C20" i="7"/>
  <c r="L14" i="7"/>
  <c r="K14" i="7"/>
  <c r="J14" i="7"/>
  <c r="I14" i="7"/>
  <c r="H14" i="7"/>
  <c r="G14" i="7"/>
  <c r="F14" i="7"/>
  <c r="E14" i="7"/>
  <c r="D14" i="7"/>
  <c r="C14" i="7"/>
  <c r="L8" i="7"/>
  <c r="K8" i="7"/>
  <c r="J8" i="7"/>
  <c r="I8" i="7"/>
  <c r="H8" i="7"/>
  <c r="G8" i="7"/>
  <c r="F8" i="7"/>
  <c r="E8" i="7"/>
  <c r="D8" i="7"/>
  <c r="C8" i="7"/>
  <c r="L5" i="7"/>
  <c r="L11" i="7" s="1"/>
  <c r="K5" i="7"/>
  <c r="K11" i="7" s="1"/>
  <c r="J5" i="7"/>
  <c r="I5" i="7"/>
  <c r="H5" i="7"/>
  <c r="G5" i="7"/>
  <c r="G11" i="7" s="1"/>
  <c r="F5" i="7"/>
  <c r="E5" i="7"/>
  <c r="D5" i="7"/>
  <c r="C5" i="7"/>
  <c r="C11" i="7" s="1"/>
  <c r="L3" i="7"/>
  <c r="K3" i="7"/>
  <c r="J3" i="7"/>
  <c r="I3" i="7"/>
  <c r="H3" i="7"/>
  <c r="G3" i="7"/>
  <c r="F3" i="7"/>
  <c r="E3" i="7"/>
  <c r="D3" i="7"/>
  <c r="C3" i="7"/>
  <c r="I11" i="7" l="1"/>
  <c r="D77" i="7"/>
  <c r="H77" i="7"/>
  <c r="L77" i="7"/>
  <c r="D92" i="7"/>
  <c r="H92" i="7"/>
  <c r="L92" i="7"/>
  <c r="E92" i="7"/>
  <c r="I92" i="7"/>
  <c r="E11" i="7"/>
  <c r="E37" i="7"/>
  <c r="F38" i="7" s="1"/>
  <c r="I37" i="7"/>
  <c r="J38" i="7" s="1"/>
  <c r="D56" i="7"/>
  <c r="F56" i="7"/>
  <c r="H56" i="7"/>
  <c r="J56" i="7"/>
  <c r="L56" i="7"/>
  <c r="D61" i="7"/>
  <c r="F61" i="7"/>
  <c r="H61" i="7"/>
  <c r="J61" i="7"/>
  <c r="L61" i="7"/>
  <c r="C77" i="7"/>
  <c r="E77" i="7"/>
  <c r="G77" i="7"/>
  <c r="I77" i="7"/>
  <c r="K77" i="7"/>
  <c r="C56" i="7"/>
  <c r="E56" i="7"/>
  <c r="G56" i="7"/>
  <c r="I56" i="7"/>
  <c r="K56" i="7"/>
  <c r="C61" i="7"/>
  <c r="E61" i="7"/>
  <c r="G61" i="7"/>
  <c r="I61" i="7"/>
  <c r="K61" i="7"/>
  <c r="D9" i="7"/>
  <c r="F9" i="7"/>
  <c r="H9" i="7"/>
  <c r="J9" i="7"/>
  <c r="L9" i="7"/>
  <c r="D15" i="7"/>
  <c r="F15" i="7"/>
  <c r="H15" i="7"/>
  <c r="J15" i="7"/>
  <c r="L15" i="7"/>
  <c r="D21" i="7"/>
  <c r="F21" i="7"/>
  <c r="H21" i="7"/>
  <c r="J21" i="7"/>
  <c r="L21" i="7"/>
  <c r="D24" i="7"/>
  <c r="F24" i="7"/>
  <c r="H24" i="7"/>
  <c r="J24" i="7"/>
  <c r="L24" i="7"/>
  <c r="C17" i="7"/>
  <c r="C12" i="7"/>
  <c r="E17" i="7"/>
  <c r="E12" i="7"/>
  <c r="G17" i="7"/>
  <c r="G12" i="7"/>
  <c r="I17" i="7"/>
  <c r="I12" i="7"/>
  <c r="K17" i="7"/>
  <c r="K12" i="7"/>
  <c r="D6" i="7"/>
  <c r="F6" i="7"/>
  <c r="H6" i="7"/>
  <c r="J6" i="7"/>
  <c r="L6" i="7"/>
  <c r="H38" i="7"/>
  <c r="L38" i="7"/>
  <c r="D41" i="7"/>
  <c r="D43" i="7" s="1"/>
  <c r="F41" i="7"/>
  <c r="F43" i="7" s="1"/>
  <c r="H41" i="7"/>
  <c r="H43" i="7" s="1"/>
  <c r="J41" i="7"/>
  <c r="J43" i="7" s="1"/>
  <c r="L41" i="7"/>
  <c r="L43" i="7" s="1"/>
  <c r="D11" i="7"/>
  <c r="F11" i="7"/>
  <c r="H11" i="7"/>
  <c r="J11" i="7"/>
  <c r="L17" i="7"/>
  <c r="L12" i="7"/>
  <c r="E6" i="7"/>
  <c r="G6" i="7"/>
  <c r="I6" i="7"/>
  <c r="K6" i="7"/>
  <c r="C9" i="7"/>
  <c r="E9" i="7"/>
  <c r="G9" i="7"/>
  <c r="I9" i="7"/>
  <c r="K9" i="7"/>
  <c r="C15" i="7"/>
  <c r="E15" i="7"/>
  <c r="G15" i="7"/>
  <c r="I15" i="7"/>
  <c r="K15" i="7"/>
  <c r="C21" i="7"/>
  <c r="E21" i="7"/>
  <c r="G21" i="7"/>
  <c r="I21" i="7"/>
  <c r="K21" i="7"/>
  <c r="E24" i="7"/>
  <c r="G24" i="7"/>
  <c r="I24" i="7"/>
  <c r="K24" i="7"/>
  <c r="E38" i="7"/>
  <c r="G43" i="7"/>
  <c r="G38" i="7"/>
  <c r="K38" i="7"/>
  <c r="C41" i="7"/>
  <c r="C43" i="7" s="1"/>
  <c r="E41" i="7"/>
  <c r="E43" i="7" s="1"/>
  <c r="G41" i="7"/>
  <c r="K41" i="7"/>
  <c r="K43" i="7" s="1"/>
  <c r="C33" i="7"/>
  <c r="E33" i="7"/>
  <c r="G33" i="7"/>
  <c r="I33" i="7"/>
  <c r="K33" i="7"/>
  <c r="D33" i="7"/>
  <c r="F33" i="7"/>
  <c r="H33" i="7"/>
  <c r="J33" i="7"/>
  <c r="L33" i="7"/>
  <c r="B6" i="6"/>
  <c r="E1" i="6"/>
  <c r="I38" i="7" l="1"/>
  <c r="I41" i="7"/>
  <c r="I43" i="7" s="1"/>
  <c r="I63" i="7"/>
  <c r="I65" i="7" s="1"/>
  <c r="J63" i="7"/>
  <c r="J65" i="7" s="1"/>
  <c r="F63" i="7"/>
  <c r="F65" i="7" s="1"/>
  <c r="L63" i="7"/>
  <c r="L65" i="7" s="1"/>
  <c r="H63" i="7"/>
  <c r="H65" i="7" s="1"/>
  <c r="D63" i="7"/>
  <c r="D65" i="7" s="1"/>
  <c r="E63" i="7"/>
  <c r="E65" i="7" s="1"/>
  <c r="K63" i="7"/>
  <c r="K65" i="7" s="1"/>
  <c r="G63" i="7"/>
  <c r="G65" i="7" s="1"/>
  <c r="C63" i="7"/>
  <c r="C65" i="7" s="1"/>
  <c r="L26" i="7"/>
  <c r="L18" i="7"/>
  <c r="H17" i="7"/>
  <c r="H12" i="7"/>
  <c r="D17" i="7"/>
  <c r="D12" i="7"/>
  <c r="J17" i="7"/>
  <c r="J12" i="7"/>
  <c r="F17" i="7"/>
  <c r="F12" i="7"/>
  <c r="K26" i="7"/>
  <c r="K18" i="7"/>
  <c r="I26" i="7"/>
  <c r="I18" i="7"/>
  <c r="G26" i="7"/>
  <c r="G18" i="7"/>
  <c r="E26" i="7"/>
  <c r="E18" i="7"/>
  <c r="C26" i="7"/>
  <c r="C18" i="7"/>
  <c r="C27" i="7" l="1"/>
  <c r="C30" i="7"/>
  <c r="E27" i="7"/>
  <c r="E30" i="7"/>
  <c r="G27" i="7"/>
  <c r="G30" i="7"/>
  <c r="I27" i="7"/>
  <c r="I30" i="7"/>
  <c r="K27" i="7"/>
  <c r="K30" i="7"/>
  <c r="F26" i="7"/>
  <c r="F18" i="7"/>
  <c r="J26" i="7"/>
  <c r="J18" i="7"/>
  <c r="D26" i="7"/>
  <c r="D18" i="7"/>
  <c r="H26" i="7"/>
  <c r="H18" i="7"/>
  <c r="L27" i="7"/>
  <c r="L30" i="7"/>
  <c r="H27" i="7" l="1"/>
  <c r="H30" i="7"/>
  <c r="D27" i="7"/>
  <c r="D30" i="7"/>
  <c r="J27" i="7"/>
  <c r="J30" i="7"/>
  <c r="F27" i="7"/>
  <c r="F30" i="7"/>
</calcChain>
</file>

<file path=xl/sharedStrings.xml><?xml version="1.0" encoding="utf-8"?>
<sst xmlns="http://schemas.openxmlformats.org/spreadsheetml/2006/main" count="176" uniqueCount="153">
  <si>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</si>
  <si>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</si>
  <si>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</si>
  <si>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</si>
  <si>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</si>
  <si>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</si>
  <si>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</si>
  <si>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</si>
  <si>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</si>
  <si>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</si>
  <si>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</si>
  <si>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</si>
  <si>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</si>
  <si>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</si>
  <si>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</si>
  <si>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</si>
  <si>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</si>
  <si>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</si>
  <si>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</si>
  <si>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</si>
  <si>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</si>
  <si>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</si>
  <si>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</si>
  <si>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</si>
  <si>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</si>
  <si>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</si>
  <si>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</si>
  <si>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</si>
  <si>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</si>
  <si>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</si>
  <si>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</si>
  <si>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</si>
  <si>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</si>
  <si>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MAHINDRA &amp; MAHINDRA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</si>
  <si>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</si>
  <si>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</si>
  <si>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</si>
  <si>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</si>
  <si>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</si>
  <si>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</si>
  <si>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</si>
  <si>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</si>
  <si>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</si>
  <si>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</si>
  <si>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</si>
  <si>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</si>
  <si>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</si>
  <si>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</si>
  <si>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</si>
  <si>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</si>
  <si>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</si>
  <si>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</si>
  <si>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</si>
  <si>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</si>
  <si>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</si>
  <si>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Income Statement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</si>
  <si>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</si>
  <si>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</si>
  <si>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</si>
  <si>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</si>
  <si>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</si>
  <si>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</si>
  <si>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</si>
  <si>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</si>
  <si>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 % Sales</t>
  </si>
  <si>
    <t>Depreciation%Sales</t>
  </si>
  <si>
    <t>Earnings Before Tax</t>
  </si>
  <si>
    <t>EBT % Sales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</si>
  <si>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</si>
  <si>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</si>
  <si>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</si>
  <si>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</si>
  <si>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</si>
  <si>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</si>
  <si>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</si>
  <si>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</si>
  <si>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</si>
  <si>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#</t>
  </si>
  <si>
    <t>Years</t>
  </si>
  <si>
    <t>-</t>
  </si>
  <si>
    <t>Balance Sheet</t>
  </si>
  <si>
    <t>Total Liabilties</t>
  </si>
  <si>
    <t>Total Non-Current Assets</t>
  </si>
  <si>
    <t>Total Current Assets</t>
  </si>
  <si>
    <t>Total Assets</t>
  </si>
  <si>
    <t>Check</t>
  </si>
  <si>
    <t>Cash Flow Statements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</si>
  <si>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</si>
  <si>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</si>
  <si>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Payables</t>
  </si>
  <si>
    <t>Loans Advances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</si>
  <si>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</si>
  <si>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</si>
  <si>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</si>
  <si>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</si>
  <si>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</si>
  <si>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</si>
  <si>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</si>
  <si>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</si>
  <si>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</si>
  <si>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</si>
  <si>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</si>
  <si>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Issue of shares on acq</t>
  </si>
  <si>
    <t>Redemp n Canc of Shares</t>
  </si>
  <si>
    <t>Acquisition of companies</t>
  </si>
  <si>
    <t>Inter corporate deposits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</si>
  <si>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</si>
  <si>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</si>
  <si>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</si>
  <si>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</si>
  <si>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</si>
  <si>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</si>
  <si>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</si>
  <si>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</si>
  <si>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</si>
  <si>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Activities</t>
  </si>
  <si>
    <t>Cash from Operating Activity </t>
  </si>
  <si>
    <t>Investing Activities</t>
  </si>
  <si>
    <t>Cash from Investing Activity </t>
  </si>
  <si>
    <t>Financing Activities</t>
  </si>
  <si>
    <t>Cash from Financing Activity 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</si>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</sst>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0.00\x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</cellStyleXfs>
  <cellXfs count="49">
    <xf numFmtId="0" fontId="0" fillId="0" borderId="0" xfId="0"/>
    <xf numFmtId="164" fontId="1" fillId="0" borderId="0" xfId="1" applyFont="1" applyBorder="1"/>
    <xf numFmtId="164" fontId="0" fillId="0" borderId="0" xfId="1" applyFont="1" applyBorder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0" fontId="7" fillId="4" borderId="0" xfId="0" applyFont="1" applyFill="1"/>
    <xf numFmtId="0" fontId="8" fillId="0" borderId="0" xfId="0" applyFont="1"/>
    <xf numFmtId="0" fontId="10" fillId="0" borderId="0" xfId="0" applyFont="1"/>
    <xf numFmtId="0" fontId="1" fillId="0" borderId="0" xfId="0" applyFont="1"/>
    <xf numFmtId="17" fontId="11" fillId="5" borderId="1" xfId="0" applyNumberFormat="1" applyFont="1" applyFill="1" applyBorder="1" applyAlignment="1">
      <alignment horizontal="right" vertical="center" wrapText="1" indent="1"/>
    </xf>
    <xf numFmtId="0" fontId="12" fillId="6" borderId="2" xfId="0" applyFont="1" applyFill="1" applyBorder="1" applyAlignment="1">
      <alignment horizontal="left" vertical="center" indent="2"/>
    </xf>
    <xf numFmtId="0" fontId="12" fillId="6" borderId="2" xfId="0" applyFont="1" applyFill="1" applyBorder="1" applyAlignment="1">
      <alignment horizontal="right" vertical="center" wrapText="1" indent="1"/>
    </xf>
    <xf numFmtId="3" fontId="12" fillId="6" borderId="2" xfId="0" applyNumberFormat="1" applyFont="1" applyFill="1" applyBorder="1" applyAlignment="1">
      <alignment horizontal="right" vertical="center" wrapText="1" indent="1"/>
    </xf>
    <xf numFmtId="0" fontId="12" fillId="6" borderId="2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3" fontId="14" fillId="6" borderId="0" xfId="0" applyNumberFormat="1" applyFont="1" applyFill="1" applyAlignment="1">
      <alignment horizontal="right" vertical="center" wrapText="1" indent="1"/>
    </xf>
    <xf numFmtId="0" fontId="14" fillId="6" borderId="0" xfId="0" applyFont="1" applyFill="1" applyAlignment="1">
      <alignment horizontal="right" vertical="center" wrapText="1" indent="1"/>
    </xf>
    <xf numFmtId="0" fontId="12" fillId="5" borderId="2" xfId="0" applyFont="1" applyFill="1" applyBorder="1" applyAlignment="1">
      <alignment horizontal="left" vertical="center" indent="2"/>
    </xf>
    <xf numFmtId="3" fontId="12" fillId="5" borderId="2" xfId="0" applyNumberFormat="1" applyFont="1" applyFill="1" applyBorder="1" applyAlignment="1">
      <alignment horizontal="right" vertical="center" wrapText="1" indent="1"/>
    </xf>
    <xf numFmtId="0" fontId="14" fillId="5" borderId="0" xfId="0" applyFont="1" applyFill="1" applyAlignment="1">
      <alignment horizontal="left" vertical="center"/>
    </xf>
    <xf numFmtId="3" fontId="14" fillId="5" borderId="0" xfId="0" applyNumberFormat="1" applyFont="1" applyFill="1" applyAlignment="1">
      <alignment horizontal="right" vertical="center" wrapText="1" indent="1"/>
    </xf>
    <xf numFmtId="0" fontId="14" fillId="5" borderId="0" xfId="0" applyFont="1" applyFill="1" applyAlignment="1">
      <alignment horizontal="right" vertical="center" wrapText="1" indent="1"/>
    </xf>
    <xf numFmtId="0" fontId="12" fillId="5" borderId="2" xfId="0" applyFont="1" applyFill="1" applyBorder="1" applyAlignment="1">
      <alignment horizontal="right" vertical="center" wrapText="1" indent="1"/>
    </xf>
    <xf numFmtId="3" fontId="0" fillId="0" borderId="0" xfId="0" applyNumberFormat="1"/>
    <xf numFmtId="0" fontId="0" fillId="0" borderId="0" xfId="0" applyAlignment="1">
      <alignment horizontal="center"/>
    </xf>
    <xf numFmtId="10" fontId="15" fillId="0" borderId="0" xfId="0" applyNumberFormat="1" applyFont="1"/>
    <xf numFmtId="0" fontId="0" fillId="0" borderId="0" xfId="0" applyAlignment="1">
      <alignment horizontal="center" vertical="center"/>
    </xf>
    <xf numFmtId="0" fontId="1" fillId="0" borderId="3" xfId="0" applyFont="1" applyBorder="1"/>
    <xf numFmtId="0" fontId="9" fillId="7" borderId="0" xfId="0" applyFont="1" applyFill="1"/>
    <xf numFmtId="17" fontId="9" fillId="7" borderId="0" xfId="0" applyNumberFormat="1" applyFont="1" applyFill="1"/>
    <xf numFmtId="17" fontId="9" fillId="7" borderId="0" xfId="0" applyNumberFormat="1" applyFont="1" applyFill="1" applyAlignment="1">
      <alignment horizontal="center"/>
    </xf>
    <xf numFmtId="17" fontId="9" fillId="7" borderId="0" xfId="0" applyNumberFormat="1" applyFont="1" applyFill="1" applyAlignment="1">
      <alignment horizontal="right"/>
    </xf>
    <xf numFmtId="0" fontId="0" fillId="0" borderId="4" xfId="0" applyBorder="1"/>
    <xf numFmtId="0" fontId="0" fillId="0" borderId="5" xfId="0" applyBorder="1"/>
    <xf numFmtId="10" fontId="0" fillId="0" borderId="4" xfId="0" applyNumberFormat="1" applyBorder="1"/>
    <xf numFmtId="10" fontId="0" fillId="0" borderId="0" xfId="0" applyNumberFormat="1"/>
    <xf numFmtId="10" fontId="0" fillId="0" borderId="5" xfId="0" applyNumberFormat="1" applyBorder="1"/>
    <xf numFmtId="166" fontId="0" fillId="0" borderId="5" xfId="0" applyNumberFormat="1" applyBorder="1"/>
    <xf numFmtId="166" fontId="0" fillId="0" borderId="0" xfId="0" applyNumberFormat="1"/>
    <xf numFmtId="166" fontId="0" fillId="0" borderId="4" xfId="0" applyNumberFormat="1" applyBorder="1"/>
    <xf numFmtId="1" fontId="0" fillId="0" borderId="4" xfId="0" applyNumberFormat="1" applyBorder="1"/>
    <xf numFmtId="1" fontId="0" fillId="0" borderId="0" xfId="0" applyNumberFormat="1"/>
    <xf numFmtId="1" fontId="0" fillId="0" borderId="5" xfId="0" applyNumberFormat="1" applyBorder="1"/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</cellXfs>
  <cellStyles count="4">
    <cellStyle name="Accent6" xfId="3" builtinId="49"/>
    <cellStyle name="Comma" xfId="1" builtinId="3"/>
    <cellStyle name="Hyperlink" xfId="2" builtinId="8"/>
    <cellStyle name="Normal" xfId="0" builtinId="0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zoomScale="66" zoomScaleNormal="66" zoomScalePageLayoutView="120" workbookViewId="0">
      <pane xSplit="1" ySplit="1" topLeftCell="B44" activePane="bottomRight" state="frozen"/>
      <selection activeCell="C4" sqref="C4"/>
      <selection pane="topRight" activeCell="C4" sqref="C4"/>
      <selection pane="bottomLeft" activeCell="C4" sqref="C4"/>
      <selection pane="bottomRight" activeCell="A60" sqref="A60"/>
    </sheetView>
  </sheetViews>
  <sheetFormatPr defaultColWidth="8.85546875" defaultRowHeight="15" x14ac:dyDescent="0.25"/>
  <cols>
    <col min="1" max="1" width="27.7109375" style="2" bestFit="1" customWidth="1"/>
    <col min="2" max="11" width="13.42578125" style="2" bestFit="1" customWidth="1"/>
    <col min="12" max="16384" width="8.85546875" style="2"/>
  </cols>
  <sheetData>
    <row r="1" spans="1:11" s="1" customFormat="1" x14ac:dyDescent="0.25">
      <c r="A1" s="1" t="s">
        <v>0</v>
      </c>
      <c r="B1" s="1" t="s">
        <v>33</v>
      </c>
      <c r="E1" s="46" t="str">
        <f>IF(B2&lt;&gt;B3, "A NEW VERSION OF THE WORKSHEET IS AVAILABLE", "")</f>
        <v/>
      </c>
      <c r="F1" s="46"/>
      <c r="G1" s="46"/>
      <c r="H1" s="46"/>
      <c r="I1" s="46"/>
      <c r="J1" s="46"/>
      <c r="K1" s="46"/>
    </row>
    <row r="2" spans="1:11" x14ac:dyDescent="0.25">
      <c r="A2" s="1" t="s">
        <v>31</v>
      </c>
      <c r="B2" s="2">
        <v>2.1</v>
      </c>
      <c r="E2" s="47" t="s">
        <v>22</v>
      </c>
      <c r="F2" s="47"/>
      <c r="G2" s="47"/>
      <c r="H2" s="47"/>
      <c r="I2" s="47"/>
      <c r="J2" s="47"/>
      <c r="K2" s="47"/>
    </row>
    <row r="3" spans="1:11" x14ac:dyDescent="0.25">
      <c r="A3" s="1" t="s">
        <v>32</v>
      </c>
      <c r="B3" s="2">
        <v>2.1</v>
      </c>
    </row>
    <row r="4" spans="1:11" x14ac:dyDescent="0.25">
      <c r="A4" s="1"/>
    </row>
    <row r="5" spans="1:11" x14ac:dyDescent="0.25">
      <c r="A5" s="1" t="s">
        <v>34</v>
      </c>
    </row>
    <row r="6" spans="1:11" x14ac:dyDescent="0.25">
      <c r="A6" s="2" t="s">
        <v>28</v>
      </c>
      <c r="B6" s="2">
        <f>IF(B9&gt;0, B9/B8, 0)</f>
        <v>124.35288445983112</v>
      </c>
    </row>
    <row r="7" spans="1:11" x14ac:dyDescent="0.25">
      <c r="A7" s="2" t="s">
        <v>17</v>
      </c>
      <c r="B7">
        <v>5</v>
      </c>
    </row>
    <row r="8" spans="1:11" x14ac:dyDescent="0.25">
      <c r="A8" s="2" t="s">
        <v>29</v>
      </c>
      <c r="B8">
        <v>3090.7</v>
      </c>
    </row>
    <row r="9" spans="1:11" x14ac:dyDescent="0.25">
      <c r="A9" s="2" t="s">
        <v>44</v>
      </c>
      <c r="B9">
        <v>384337.46</v>
      </c>
    </row>
    <row r="15" spans="1:11" x14ac:dyDescent="0.25">
      <c r="A15" s="1" t="s">
        <v>23</v>
      </c>
    </row>
    <row r="16" spans="1:11" s="6" customFormat="1" x14ac:dyDescent="0.25">
      <c r="A16" s="5" t="s">
        <v>24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25">
      <c r="A17" s="3" t="s">
        <v>1</v>
      </c>
      <c r="B17">
        <v>75841.42</v>
      </c>
      <c r="C17">
        <v>83773.05</v>
      </c>
      <c r="D17">
        <v>92093.95</v>
      </c>
      <c r="E17">
        <v>104720.68</v>
      </c>
      <c r="F17">
        <v>75381.929999999993</v>
      </c>
      <c r="G17">
        <v>74277.78</v>
      </c>
      <c r="H17">
        <v>90170.57</v>
      </c>
      <c r="I17">
        <v>121268.55</v>
      </c>
      <c r="J17">
        <v>139078.26999999999</v>
      </c>
      <c r="K17">
        <v>159210.82</v>
      </c>
    </row>
    <row r="18" spans="1:11" s="3" customFormat="1" x14ac:dyDescent="0.25">
      <c r="A18" s="2" t="s">
        <v>45</v>
      </c>
      <c r="B18">
        <v>45584.35</v>
      </c>
      <c r="C18">
        <v>50655.199999999997</v>
      </c>
      <c r="D18">
        <v>53457.29</v>
      </c>
      <c r="E18">
        <v>61881.19</v>
      </c>
      <c r="F18">
        <v>37595.300000000003</v>
      </c>
      <c r="G18">
        <v>38271.199999999997</v>
      </c>
      <c r="H18">
        <v>52664.85</v>
      </c>
      <c r="I18">
        <v>76019.87</v>
      </c>
      <c r="J18">
        <v>85070.07</v>
      </c>
      <c r="K18">
        <v>95754.9</v>
      </c>
    </row>
    <row r="19" spans="1:11" s="3" customFormat="1" x14ac:dyDescent="0.25">
      <c r="A19" s="2" t="s">
        <v>46</v>
      </c>
      <c r="B19">
        <v>458.51</v>
      </c>
      <c r="C19">
        <v>13.83</v>
      </c>
      <c r="D19">
        <v>-83.33</v>
      </c>
      <c r="E19">
        <v>1730.48</v>
      </c>
      <c r="F19">
        <v>-826.62</v>
      </c>
      <c r="G19">
        <v>-135.59</v>
      </c>
      <c r="H19">
        <v>861.66</v>
      </c>
      <c r="I19">
        <v>2032.31</v>
      </c>
      <c r="J19">
        <v>1455.32</v>
      </c>
      <c r="K19">
        <v>12.18</v>
      </c>
    </row>
    <row r="20" spans="1:11" s="3" customFormat="1" x14ac:dyDescent="0.25">
      <c r="A20" s="2" t="s">
        <v>47</v>
      </c>
      <c r="B20">
        <v>639.97</v>
      </c>
      <c r="C20">
        <v>657.06</v>
      </c>
      <c r="D20">
        <v>733.9</v>
      </c>
      <c r="E20">
        <v>817.11</v>
      </c>
      <c r="F20">
        <v>530.91999999999996</v>
      </c>
      <c r="G20">
        <v>429.56</v>
      </c>
      <c r="H20">
        <v>541.27</v>
      </c>
      <c r="I20">
        <v>830.48</v>
      </c>
      <c r="J20">
        <v>752.73</v>
      </c>
    </row>
    <row r="21" spans="1:11" s="3" customFormat="1" x14ac:dyDescent="0.25">
      <c r="A21" s="2" t="s">
        <v>48</v>
      </c>
      <c r="B21">
        <v>2618.6999999999998</v>
      </c>
      <c r="C21">
        <v>3255.3</v>
      </c>
      <c r="D21">
        <v>3590.26</v>
      </c>
      <c r="E21">
        <v>4253</v>
      </c>
      <c r="F21">
        <v>3277.79</v>
      </c>
      <c r="G21">
        <v>2523.4</v>
      </c>
      <c r="H21">
        <v>3124.27</v>
      </c>
      <c r="I21">
        <v>3838.42</v>
      </c>
      <c r="J21">
        <v>3791.75</v>
      </c>
    </row>
    <row r="22" spans="1:11" s="3" customFormat="1" x14ac:dyDescent="0.25">
      <c r="A22" s="2" t="s">
        <v>49</v>
      </c>
      <c r="B22">
        <v>7689.4</v>
      </c>
      <c r="C22">
        <v>8910.6299999999992</v>
      </c>
      <c r="D22">
        <v>10004.620000000001</v>
      </c>
      <c r="E22">
        <v>11242.08</v>
      </c>
      <c r="F22">
        <v>8214.82</v>
      </c>
      <c r="G22">
        <v>7813.26</v>
      </c>
      <c r="H22">
        <v>8386.74</v>
      </c>
      <c r="I22">
        <v>9677.9500000000007</v>
      </c>
      <c r="J22">
        <v>10624.33</v>
      </c>
      <c r="K22">
        <v>11126.17</v>
      </c>
    </row>
    <row r="23" spans="1:11" s="3" customFormat="1" x14ac:dyDescent="0.25">
      <c r="A23" s="2" t="s">
        <v>50</v>
      </c>
      <c r="B23">
        <v>5758.86</v>
      </c>
      <c r="C23">
        <v>6253.64</v>
      </c>
      <c r="D23">
        <v>7591.15</v>
      </c>
      <c r="E23">
        <v>9658.98</v>
      </c>
      <c r="F23">
        <v>6316.52</v>
      </c>
      <c r="G23">
        <v>4628.75</v>
      </c>
      <c r="H23">
        <v>5977.67</v>
      </c>
      <c r="I23">
        <v>7681.87</v>
      </c>
      <c r="J23">
        <v>9832.2000000000007</v>
      </c>
    </row>
    <row r="24" spans="1:11" s="3" customFormat="1" x14ac:dyDescent="0.25">
      <c r="A24" s="2" t="s">
        <v>51</v>
      </c>
      <c r="B24">
        <v>3926.21</v>
      </c>
      <c r="C24">
        <v>3320.22</v>
      </c>
      <c r="D24">
        <v>3407.3</v>
      </c>
      <c r="E24">
        <v>3392.29</v>
      </c>
      <c r="F24">
        <v>8462.2099999999991</v>
      </c>
      <c r="G24">
        <v>8989</v>
      </c>
      <c r="H24">
        <v>5654.58</v>
      </c>
      <c r="I24">
        <v>4966.9799999999996</v>
      </c>
      <c r="J24">
        <v>5570.58</v>
      </c>
      <c r="K24">
        <v>21823.74</v>
      </c>
    </row>
    <row r="25" spans="1:11" s="3" customFormat="1" x14ac:dyDescent="0.25">
      <c r="A25" s="3" t="s">
        <v>4</v>
      </c>
      <c r="B25">
        <v>1398.83</v>
      </c>
      <c r="C25">
        <v>2076.61</v>
      </c>
      <c r="D25">
        <v>4366.41</v>
      </c>
      <c r="E25">
        <v>2676.45</v>
      </c>
      <c r="F25">
        <v>884.69</v>
      </c>
      <c r="G25">
        <v>1151.51</v>
      </c>
      <c r="H25">
        <v>3204.47</v>
      </c>
      <c r="I25">
        <v>3961.45</v>
      </c>
      <c r="J25">
        <v>3297.85</v>
      </c>
      <c r="K25">
        <v>3718.47</v>
      </c>
    </row>
    <row r="26" spans="1:11" s="3" customFormat="1" x14ac:dyDescent="0.25">
      <c r="A26" s="3" t="s">
        <v>5</v>
      </c>
      <c r="B26">
        <v>2441.65</v>
      </c>
      <c r="C26">
        <v>2812.72</v>
      </c>
      <c r="D26">
        <v>3279.9</v>
      </c>
      <c r="E26">
        <v>3990.77</v>
      </c>
      <c r="F26">
        <v>3366.68</v>
      </c>
      <c r="G26">
        <v>3378.11</v>
      </c>
      <c r="H26">
        <v>3507.5</v>
      </c>
      <c r="I26">
        <v>4356.8100000000004</v>
      </c>
      <c r="J26">
        <v>4723.78</v>
      </c>
      <c r="K26">
        <v>6073.65</v>
      </c>
    </row>
    <row r="27" spans="1:11" s="3" customFormat="1" x14ac:dyDescent="0.25">
      <c r="A27" s="3" t="s">
        <v>6</v>
      </c>
      <c r="B27">
        <v>3367.59</v>
      </c>
      <c r="C27">
        <v>3648.46</v>
      </c>
      <c r="D27">
        <v>3987.09</v>
      </c>
      <c r="E27">
        <v>5021.3500000000004</v>
      </c>
      <c r="F27">
        <v>6021.15</v>
      </c>
      <c r="G27">
        <v>6102.22</v>
      </c>
      <c r="H27">
        <v>5018.05</v>
      </c>
      <c r="I27">
        <v>5829.7</v>
      </c>
      <c r="J27">
        <v>7488.21</v>
      </c>
      <c r="K27">
        <v>9083.39</v>
      </c>
    </row>
    <row r="28" spans="1:11" s="3" customFormat="1" x14ac:dyDescent="0.25">
      <c r="A28" s="3" t="s">
        <v>7</v>
      </c>
      <c r="B28">
        <v>5672.03</v>
      </c>
      <c r="C28">
        <v>6350.26</v>
      </c>
      <c r="D28">
        <v>10325.52</v>
      </c>
      <c r="E28">
        <v>8870.84</v>
      </c>
      <c r="F28">
        <v>1654.61</v>
      </c>
      <c r="G28">
        <v>3158.2</v>
      </c>
      <c r="H28">
        <v>9361.77</v>
      </c>
      <c r="I28">
        <v>14060.23</v>
      </c>
      <c r="J28">
        <v>15977.79</v>
      </c>
      <c r="K28">
        <v>19079.62</v>
      </c>
    </row>
    <row r="29" spans="1:11" s="3" customFormat="1" x14ac:dyDescent="0.25">
      <c r="A29" s="3" t="s">
        <v>8</v>
      </c>
      <c r="B29">
        <v>2117.5300000000002</v>
      </c>
      <c r="C29">
        <v>2299.73</v>
      </c>
      <c r="D29">
        <v>2367.73</v>
      </c>
      <c r="E29">
        <v>2853.99</v>
      </c>
      <c r="F29">
        <v>1975.61</v>
      </c>
      <c r="G29">
        <v>1645.81</v>
      </c>
      <c r="H29">
        <v>2108.7600000000002</v>
      </c>
      <c r="I29">
        <v>2685.75</v>
      </c>
      <c r="J29">
        <v>3707.97</v>
      </c>
      <c r="K29">
        <v>5006.45</v>
      </c>
    </row>
    <row r="30" spans="1:11" s="3" customFormat="1" x14ac:dyDescent="0.25">
      <c r="A30" s="3" t="s">
        <v>9</v>
      </c>
      <c r="B30">
        <v>3148.43</v>
      </c>
      <c r="C30">
        <v>3698.04</v>
      </c>
      <c r="D30">
        <v>7510.39</v>
      </c>
      <c r="E30">
        <v>5315.46</v>
      </c>
      <c r="F30">
        <v>127.04</v>
      </c>
      <c r="G30">
        <v>1812.49</v>
      </c>
      <c r="H30">
        <v>6577.32</v>
      </c>
      <c r="I30">
        <v>10281.5</v>
      </c>
      <c r="J30">
        <v>11268.64</v>
      </c>
      <c r="K30">
        <v>12929.1</v>
      </c>
    </row>
    <row r="31" spans="1:11" s="3" customFormat="1" x14ac:dyDescent="0.25">
      <c r="A31" s="3" t="s">
        <v>35</v>
      </c>
      <c r="B31">
        <v>648.96</v>
      </c>
      <c r="C31">
        <v>807.43</v>
      </c>
      <c r="D31">
        <v>814.7</v>
      </c>
      <c r="E31">
        <v>924.73</v>
      </c>
      <c r="F31">
        <v>260.51</v>
      </c>
      <c r="G31">
        <v>971.51</v>
      </c>
      <c r="H31">
        <v>1284.5</v>
      </c>
      <c r="I31">
        <v>1809.66</v>
      </c>
      <c r="J31">
        <v>2352.14</v>
      </c>
      <c r="K31">
        <v>2824.24</v>
      </c>
    </row>
    <row r="32" spans="1:11" s="3" customFormat="1" x14ac:dyDescent="0.25"/>
    <row r="33" spans="1:11" x14ac:dyDescent="0.25">
      <c r="A33" s="3"/>
    </row>
    <row r="34" spans="1:11" x14ac:dyDescent="0.25">
      <c r="A34" s="3"/>
    </row>
    <row r="35" spans="1:11" x14ac:dyDescent="0.25">
      <c r="A35" s="3"/>
    </row>
    <row r="36" spans="1:11" x14ac:dyDescent="0.25">
      <c r="A36" s="3"/>
    </row>
    <row r="37" spans="1:11" x14ac:dyDescent="0.25">
      <c r="A37" s="3"/>
    </row>
    <row r="38" spans="1:11" x14ac:dyDescent="0.25">
      <c r="A38" s="3"/>
    </row>
    <row r="39" spans="1:11" x14ac:dyDescent="0.25">
      <c r="A39" s="3"/>
    </row>
    <row r="40" spans="1:11" x14ac:dyDescent="0.25">
      <c r="A40" s="1" t="s">
        <v>25</v>
      </c>
    </row>
    <row r="41" spans="1:11" s="6" customFormat="1" x14ac:dyDescent="0.25">
      <c r="A41" s="5" t="s">
        <v>24</v>
      </c>
      <c r="B41" s="4">
        <v>44926</v>
      </c>
      <c r="C41" s="4">
        <v>45016</v>
      </c>
      <c r="D41" s="4">
        <v>45107</v>
      </c>
      <c r="E41" s="4">
        <v>45199</v>
      </c>
      <c r="F41" s="4">
        <v>45291</v>
      </c>
      <c r="G41" s="4">
        <v>45382</v>
      </c>
      <c r="H41" s="4">
        <v>45473</v>
      </c>
      <c r="I41" s="4">
        <v>45565</v>
      </c>
      <c r="J41" s="4">
        <v>45657</v>
      </c>
      <c r="K41" s="4">
        <v>45747</v>
      </c>
    </row>
    <row r="42" spans="1:11" s="3" customFormat="1" x14ac:dyDescent="0.25">
      <c r="A42" s="3" t="s">
        <v>1</v>
      </c>
      <c r="B42">
        <v>30621.279999999999</v>
      </c>
      <c r="C42">
        <v>32455.65</v>
      </c>
      <c r="D42">
        <v>33891.629999999997</v>
      </c>
      <c r="E42">
        <v>34435.519999999997</v>
      </c>
      <c r="F42">
        <v>35299.39</v>
      </c>
      <c r="G42">
        <v>35451.730000000003</v>
      </c>
      <c r="H42">
        <v>37217.72</v>
      </c>
      <c r="I42">
        <v>37923.74</v>
      </c>
      <c r="J42">
        <v>41470.050000000003</v>
      </c>
      <c r="K42">
        <v>42599.31</v>
      </c>
    </row>
    <row r="43" spans="1:11" s="3" customFormat="1" x14ac:dyDescent="0.25">
      <c r="A43" s="3" t="s">
        <v>2</v>
      </c>
      <c r="B43">
        <v>25367.56</v>
      </c>
      <c r="C43">
        <v>26797.919999999998</v>
      </c>
      <c r="D43">
        <v>27642.400000000001</v>
      </c>
      <c r="E43">
        <v>28705.94</v>
      </c>
      <c r="F43">
        <v>29075.41</v>
      </c>
      <c r="G43">
        <v>28847.82</v>
      </c>
      <c r="H43">
        <v>29974.6</v>
      </c>
      <c r="I43">
        <v>30790.34</v>
      </c>
      <c r="J43">
        <v>33239.32</v>
      </c>
      <c r="K43">
        <v>34688.370000000003</v>
      </c>
    </row>
    <row r="44" spans="1:11" s="3" customFormat="1" x14ac:dyDescent="0.25">
      <c r="A44" s="3" t="s">
        <v>4</v>
      </c>
      <c r="B44">
        <v>1183.71</v>
      </c>
      <c r="C44">
        <v>661.74</v>
      </c>
      <c r="D44">
        <v>1065</v>
      </c>
      <c r="E44">
        <v>811.95</v>
      </c>
      <c r="F44">
        <v>755.69</v>
      </c>
      <c r="G44">
        <v>750.44</v>
      </c>
      <c r="H44">
        <v>733.21</v>
      </c>
      <c r="I44">
        <v>1125.57</v>
      </c>
      <c r="J44">
        <v>718.59</v>
      </c>
      <c r="K44">
        <v>1141.0999999999999</v>
      </c>
    </row>
    <row r="45" spans="1:11" s="3" customFormat="1" x14ac:dyDescent="0.25">
      <c r="A45" s="3" t="s">
        <v>5</v>
      </c>
      <c r="B45">
        <v>1110.1600000000001</v>
      </c>
      <c r="C45">
        <v>1194.4000000000001</v>
      </c>
      <c r="D45">
        <v>1127.5</v>
      </c>
      <c r="E45">
        <v>1138.6400000000001</v>
      </c>
      <c r="F45">
        <v>1122.5899999999999</v>
      </c>
      <c r="G45">
        <v>1335.05</v>
      </c>
      <c r="H45">
        <v>1247.77</v>
      </c>
      <c r="I45">
        <v>1301.99</v>
      </c>
      <c r="J45">
        <v>1495.17</v>
      </c>
      <c r="K45">
        <v>2028.72</v>
      </c>
    </row>
    <row r="46" spans="1:11" s="3" customFormat="1" x14ac:dyDescent="0.25">
      <c r="A46" s="3" t="s">
        <v>6</v>
      </c>
      <c r="B46">
        <v>1595.56</v>
      </c>
      <c r="C46">
        <v>1633.56</v>
      </c>
      <c r="D46">
        <v>1718.84</v>
      </c>
      <c r="E46">
        <v>1835.19</v>
      </c>
      <c r="F46">
        <v>1944.88</v>
      </c>
      <c r="G46">
        <v>1989.3</v>
      </c>
      <c r="H46">
        <v>2107.69</v>
      </c>
      <c r="I46">
        <v>2217.02</v>
      </c>
      <c r="J46">
        <v>2362.16</v>
      </c>
      <c r="K46">
        <v>2396.52</v>
      </c>
    </row>
    <row r="47" spans="1:11" s="3" customFormat="1" x14ac:dyDescent="0.25">
      <c r="A47" s="3" t="s">
        <v>7</v>
      </c>
      <c r="B47">
        <v>3731.71</v>
      </c>
      <c r="C47">
        <v>3491.51</v>
      </c>
      <c r="D47">
        <v>4467.8900000000003</v>
      </c>
      <c r="E47">
        <v>3567.7</v>
      </c>
      <c r="F47">
        <v>3912.2</v>
      </c>
      <c r="G47">
        <v>4030</v>
      </c>
      <c r="H47">
        <v>4620.87</v>
      </c>
      <c r="I47">
        <v>4739.96</v>
      </c>
      <c r="J47">
        <v>5091.99</v>
      </c>
      <c r="K47">
        <v>4626.8</v>
      </c>
    </row>
    <row r="48" spans="1:11" s="3" customFormat="1" x14ac:dyDescent="0.25">
      <c r="A48" s="3" t="s">
        <v>8</v>
      </c>
      <c r="B48">
        <v>737.68</v>
      </c>
      <c r="C48">
        <v>493.14</v>
      </c>
      <c r="D48">
        <v>784.02</v>
      </c>
      <c r="E48">
        <v>1083.73</v>
      </c>
      <c r="F48">
        <v>935.16</v>
      </c>
      <c r="G48">
        <v>905.06</v>
      </c>
      <c r="H48">
        <v>1075.0899999999999</v>
      </c>
      <c r="I48">
        <v>1378.9</v>
      </c>
      <c r="J48">
        <v>1467.51</v>
      </c>
      <c r="K48">
        <v>1084.95</v>
      </c>
    </row>
    <row r="49" spans="1:11" s="3" customFormat="1" x14ac:dyDescent="0.25">
      <c r="A49" s="3" t="s">
        <v>9</v>
      </c>
      <c r="B49">
        <v>2676.56</v>
      </c>
      <c r="C49">
        <v>2636.67</v>
      </c>
      <c r="D49">
        <v>3508.41</v>
      </c>
      <c r="E49">
        <v>2347.75</v>
      </c>
      <c r="F49">
        <v>2658.4</v>
      </c>
      <c r="G49">
        <v>2754.08</v>
      </c>
      <c r="H49">
        <v>3282.63</v>
      </c>
      <c r="I49">
        <v>3170.72</v>
      </c>
      <c r="J49">
        <v>3180.58</v>
      </c>
      <c r="K49">
        <v>3295.17</v>
      </c>
    </row>
    <row r="50" spans="1:11" x14ac:dyDescent="0.25">
      <c r="A50" s="3" t="s">
        <v>3</v>
      </c>
      <c r="B50">
        <v>5253.72</v>
      </c>
      <c r="C50">
        <v>5657.73</v>
      </c>
      <c r="D50">
        <v>6249.23</v>
      </c>
      <c r="E50">
        <v>5729.58</v>
      </c>
      <c r="F50">
        <v>6223.98</v>
      </c>
      <c r="G50">
        <v>6603.91</v>
      </c>
      <c r="H50">
        <v>7243.12</v>
      </c>
      <c r="I50">
        <v>7133.4</v>
      </c>
      <c r="J50">
        <v>8230.73</v>
      </c>
      <c r="K50">
        <v>7910.94</v>
      </c>
    </row>
    <row r="51" spans="1:11" x14ac:dyDescent="0.25">
      <c r="A51" s="3"/>
    </row>
    <row r="52" spans="1:11" x14ac:dyDescent="0.25">
      <c r="A52" s="3"/>
    </row>
    <row r="53" spans="1:11" x14ac:dyDescent="0.25">
      <c r="A53" s="3"/>
    </row>
    <row r="54" spans="1:11" x14ac:dyDescent="0.25">
      <c r="A54" s="3"/>
    </row>
    <row r="55" spans="1:11" x14ac:dyDescent="0.25">
      <c r="A55" s="1" t="s">
        <v>26</v>
      </c>
    </row>
    <row r="56" spans="1:11" s="6" customFormat="1" x14ac:dyDescent="0.25">
      <c r="A56" s="5" t="s">
        <v>24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25">
      <c r="A57" s="3" t="s">
        <v>11</v>
      </c>
      <c r="B57">
        <v>270.39999999999998</v>
      </c>
      <c r="C57">
        <v>310.55</v>
      </c>
      <c r="D57">
        <v>543.13</v>
      </c>
      <c r="E57">
        <v>543.96</v>
      </c>
      <c r="F57">
        <v>554.28</v>
      </c>
      <c r="G57">
        <v>555.15</v>
      </c>
      <c r="H57">
        <v>556.05999999999995</v>
      </c>
      <c r="I57">
        <v>556.82000000000005</v>
      </c>
      <c r="J57">
        <v>557.38</v>
      </c>
      <c r="K57">
        <v>558.15</v>
      </c>
    </row>
    <row r="58" spans="1:11" x14ac:dyDescent="0.25">
      <c r="A58" s="3" t="s">
        <v>12</v>
      </c>
      <c r="B58">
        <v>26222.25</v>
      </c>
      <c r="C58">
        <v>29467.1</v>
      </c>
      <c r="D58">
        <v>36232.06</v>
      </c>
      <c r="E58">
        <v>39439.449999999997</v>
      </c>
      <c r="F58">
        <v>39415.03</v>
      </c>
      <c r="G58">
        <v>41026.769999999997</v>
      </c>
      <c r="H58">
        <v>46566.58</v>
      </c>
      <c r="I58">
        <v>55808.97</v>
      </c>
      <c r="J58">
        <v>65633.17</v>
      </c>
      <c r="K58">
        <v>76480.710000000006</v>
      </c>
    </row>
    <row r="59" spans="1:11" x14ac:dyDescent="0.25">
      <c r="A59" s="3" t="s">
        <v>36</v>
      </c>
      <c r="B59">
        <v>41552.93</v>
      </c>
      <c r="C59">
        <v>48761.91</v>
      </c>
      <c r="D59">
        <v>55897.919999999998</v>
      </c>
      <c r="E59">
        <v>70848.3</v>
      </c>
      <c r="F59">
        <v>82092.28</v>
      </c>
      <c r="G59">
        <v>80624.83</v>
      </c>
      <c r="H59">
        <v>77605.210000000006</v>
      </c>
      <c r="I59">
        <v>92246.85</v>
      </c>
      <c r="J59">
        <v>108647.25</v>
      </c>
      <c r="K59">
        <v>124949.31</v>
      </c>
    </row>
    <row r="60" spans="1:11" x14ac:dyDescent="0.25">
      <c r="A60" s="3" t="s">
        <v>37</v>
      </c>
      <c r="B60">
        <v>31806.240000000002</v>
      </c>
      <c r="C60">
        <v>35295.919999999998</v>
      </c>
      <c r="D60">
        <v>43696.2</v>
      </c>
      <c r="E60">
        <v>51056.95</v>
      </c>
      <c r="F60">
        <v>43654.54</v>
      </c>
      <c r="G60">
        <v>42761.58</v>
      </c>
      <c r="H60">
        <v>47660.639999999999</v>
      </c>
      <c r="I60">
        <v>55670.49</v>
      </c>
      <c r="J60">
        <v>59883.94</v>
      </c>
      <c r="K60">
        <v>75598.100000000006</v>
      </c>
    </row>
    <row r="61" spans="1:11" s="1" customFormat="1" x14ac:dyDescent="0.25">
      <c r="A61" s="1" t="s">
        <v>13</v>
      </c>
      <c r="B61">
        <v>99851.82</v>
      </c>
      <c r="C61">
        <v>113835.48</v>
      </c>
      <c r="D61">
        <v>136369.31</v>
      </c>
      <c r="E61">
        <v>161888.66</v>
      </c>
      <c r="F61">
        <v>165716.13</v>
      </c>
      <c r="G61">
        <v>164968.32999999999</v>
      </c>
      <c r="H61">
        <v>172388.49</v>
      </c>
      <c r="I61">
        <v>204283.13</v>
      </c>
      <c r="J61">
        <v>234721.74</v>
      </c>
      <c r="K61">
        <v>277586.27</v>
      </c>
    </row>
    <row r="62" spans="1:11" x14ac:dyDescent="0.25">
      <c r="A62" s="3" t="s">
        <v>14</v>
      </c>
      <c r="B62">
        <v>20584.71</v>
      </c>
      <c r="C62">
        <v>20989.01</v>
      </c>
      <c r="D62">
        <v>26181.9</v>
      </c>
      <c r="E62">
        <v>28982.74</v>
      </c>
      <c r="F62">
        <v>29689.27</v>
      </c>
      <c r="G62">
        <v>21379.68</v>
      </c>
      <c r="H62">
        <v>26018.49</v>
      </c>
      <c r="I62">
        <v>27139.98</v>
      </c>
      <c r="J62">
        <v>28129.41</v>
      </c>
      <c r="K62">
        <v>39281.440000000002</v>
      </c>
    </row>
    <row r="63" spans="1:11" x14ac:dyDescent="0.25">
      <c r="A63" s="3" t="s">
        <v>15</v>
      </c>
      <c r="B63">
        <v>2371.35</v>
      </c>
      <c r="C63">
        <v>4278.9399999999996</v>
      </c>
      <c r="D63">
        <v>4269.47</v>
      </c>
      <c r="E63">
        <v>4759.84</v>
      </c>
      <c r="F63">
        <v>6856.48</v>
      </c>
      <c r="G63">
        <v>7872.61</v>
      </c>
      <c r="H63">
        <v>6702.81</v>
      </c>
      <c r="I63">
        <v>3968.58</v>
      </c>
      <c r="J63">
        <v>8039.3</v>
      </c>
      <c r="K63">
        <v>3652.56</v>
      </c>
    </row>
    <row r="64" spans="1:11" x14ac:dyDescent="0.25">
      <c r="A64" s="3" t="s">
        <v>16</v>
      </c>
      <c r="B64">
        <v>11602.58</v>
      </c>
      <c r="C64">
        <v>14662.44</v>
      </c>
      <c r="D64">
        <v>16017.61</v>
      </c>
      <c r="E64">
        <v>18268.099999999999</v>
      </c>
      <c r="F64">
        <v>19210.34</v>
      </c>
      <c r="G64">
        <v>28777.66</v>
      </c>
      <c r="H64">
        <v>30060.43</v>
      </c>
      <c r="I64">
        <v>35272.42</v>
      </c>
      <c r="J64">
        <v>35208.1</v>
      </c>
      <c r="K64">
        <v>41308.57</v>
      </c>
    </row>
    <row r="65" spans="1:11" x14ac:dyDescent="0.25">
      <c r="A65" s="3" t="s">
        <v>38</v>
      </c>
      <c r="B65">
        <v>65293.18</v>
      </c>
      <c r="C65">
        <v>73905.09</v>
      </c>
      <c r="D65">
        <v>89900.33</v>
      </c>
      <c r="E65">
        <v>109877.98</v>
      </c>
      <c r="F65">
        <v>109960.04</v>
      </c>
      <c r="G65">
        <v>106938.38</v>
      </c>
      <c r="H65">
        <v>109606.76</v>
      </c>
      <c r="I65">
        <v>137902.15</v>
      </c>
      <c r="J65">
        <v>163344.93</v>
      </c>
      <c r="K65">
        <v>193343.7</v>
      </c>
    </row>
    <row r="66" spans="1:11" s="1" customFormat="1" x14ac:dyDescent="0.25">
      <c r="A66" s="1" t="s">
        <v>13</v>
      </c>
      <c r="B66">
        <v>99851.82</v>
      </c>
      <c r="C66">
        <v>113835.48</v>
      </c>
      <c r="D66">
        <v>136369.31</v>
      </c>
      <c r="E66">
        <v>161888.66</v>
      </c>
      <c r="F66">
        <v>165716.13</v>
      </c>
      <c r="G66">
        <v>164968.32999999999</v>
      </c>
      <c r="H66">
        <v>172388.49</v>
      </c>
      <c r="I66">
        <v>204283.13</v>
      </c>
      <c r="J66">
        <v>234721.74</v>
      </c>
      <c r="K66">
        <v>277586.27</v>
      </c>
    </row>
    <row r="67" spans="1:11" s="3" customFormat="1" x14ac:dyDescent="0.25">
      <c r="A67" s="3" t="s">
        <v>43</v>
      </c>
      <c r="B67">
        <v>5817.6</v>
      </c>
      <c r="C67">
        <v>7199.26</v>
      </c>
      <c r="D67">
        <v>8489.82</v>
      </c>
      <c r="E67">
        <v>8677.89</v>
      </c>
      <c r="F67">
        <v>6928.28</v>
      </c>
      <c r="G67">
        <v>6007.76</v>
      </c>
      <c r="H67">
        <v>6373.95</v>
      </c>
      <c r="I67">
        <v>7028.02</v>
      </c>
      <c r="J67">
        <v>7459.4</v>
      </c>
      <c r="K67">
        <v>8279.7000000000007</v>
      </c>
    </row>
    <row r="68" spans="1:11" x14ac:dyDescent="0.25">
      <c r="A68" s="3" t="s">
        <v>30</v>
      </c>
      <c r="B68">
        <v>9116.1200000000008</v>
      </c>
      <c r="C68">
        <v>8886.01</v>
      </c>
      <c r="D68">
        <v>9335.57</v>
      </c>
      <c r="E68">
        <v>12200.16</v>
      </c>
      <c r="F68">
        <v>11111.86</v>
      </c>
      <c r="G68">
        <v>9615.41</v>
      </c>
      <c r="H68">
        <v>11595.82</v>
      </c>
      <c r="I68">
        <v>16854.97</v>
      </c>
      <c r="J68">
        <v>18590.47</v>
      </c>
      <c r="K68">
        <v>20330.93</v>
      </c>
    </row>
    <row r="69" spans="1:11" x14ac:dyDescent="0.25">
      <c r="A69" s="2" t="s">
        <v>52</v>
      </c>
      <c r="B69">
        <v>4527.55</v>
      </c>
      <c r="C69">
        <v>4654.03</v>
      </c>
      <c r="D69">
        <v>6547.6</v>
      </c>
      <c r="E69">
        <v>8734.91</v>
      </c>
      <c r="F69">
        <v>7910.9</v>
      </c>
      <c r="G69">
        <v>12851.99</v>
      </c>
      <c r="H69">
        <v>11117.61</v>
      </c>
      <c r="I69">
        <v>11273.43</v>
      </c>
      <c r="J69">
        <v>12012.75</v>
      </c>
      <c r="K69">
        <v>20614.84</v>
      </c>
    </row>
    <row r="70" spans="1:11" x14ac:dyDescent="0.25">
      <c r="A70" s="2" t="s">
        <v>39</v>
      </c>
      <c r="B70">
        <v>592633807</v>
      </c>
      <c r="C70">
        <v>621092384</v>
      </c>
      <c r="D70">
        <v>1243192544</v>
      </c>
      <c r="E70">
        <v>1243192544</v>
      </c>
      <c r="F70">
        <v>1243192544</v>
      </c>
      <c r="G70">
        <v>1110297953</v>
      </c>
      <c r="H70">
        <v>1112130815</v>
      </c>
      <c r="I70">
        <v>1198118224</v>
      </c>
      <c r="J70">
        <v>1114775772</v>
      </c>
    </row>
    <row r="71" spans="1:11" x14ac:dyDescent="0.25">
      <c r="A71" s="2" t="s">
        <v>40</v>
      </c>
      <c r="D71">
        <v>621596272</v>
      </c>
    </row>
    <row r="72" spans="1:11" x14ac:dyDescent="0.25">
      <c r="A72" s="2" t="s">
        <v>53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25">
      <c r="A74" s="3"/>
    </row>
    <row r="75" spans="1:11" x14ac:dyDescent="0.25">
      <c r="A75" s="3"/>
    </row>
    <row r="76" spans="1:11" x14ac:dyDescent="0.25">
      <c r="A76" s="3"/>
    </row>
    <row r="77" spans="1:11" x14ac:dyDescent="0.25">
      <c r="A77" s="3"/>
    </row>
    <row r="78" spans="1:11" x14ac:dyDescent="0.25">
      <c r="A78" s="3"/>
    </row>
    <row r="79" spans="1:11" x14ac:dyDescent="0.25">
      <c r="A79" s="3"/>
    </row>
    <row r="80" spans="1:11" x14ac:dyDescent="0.25">
      <c r="A80" s="1" t="s">
        <v>27</v>
      </c>
    </row>
    <row r="81" spans="1:11" s="6" customFormat="1" x14ac:dyDescent="0.25">
      <c r="A81" s="5" t="s">
        <v>24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25">
      <c r="A82" s="3" t="s">
        <v>18</v>
      </c>
      <c r="B82">
        <v>2384.7600000000002</v>
      </c>
      <c r="C82">
        <v>183.09</v>
      </c>
      <c r="D82">
        <v>681.86</v>
      </c>
      <c r="E82">
        <v>-4347.29</v>
      </c>
      <c r="F82">
        <v>-1456.93</v>
      </c>
      <c r="G82">
        <v>17908.830000000002</v>
      </c>
      <c r="H82">
        <v>9247.5499999999993</v>
      </c>
      <c r="I82">
        <v>-7074.02</v>
      </c>
      <c r="J82">
        <v>-5629.95</v>
      </c>
      <c r="K82">
        <v>3175.81</v>
      </c>
    </row>
    <row r="83" spans="1:11" s="3" customFormat="1" x14ac:dyDescent="0.25">
      <c r="A83" s="3" t="s">
        <v>19</v>
      </c>
      <c r="B83">
        <v>-5505.97</v>
      </c>
      <c r="C83">
        <v>-5875.29</v>
      </c>
      <c r="D83">
        <v>-5467.22</v>
      </c>
      <c r="E83">
        <v>-7173.97</v>
      </c>
      <c r="F83">
        <v>-6869.79</v>
      </c>
      <c r="G83">
        <v>-19685.5</v>
      </c>
      <c r="H83">
        <v>-3251.95</v>
      </c>
      <c r="I83">
        <v>-8866.27</v>
      </c>
      <c r="J83">
        <v>-5614.77</v>
      </c>
      <c r="K83">
        <v>-18626.11</v>
      </c>
    </row>
    <row r="84" spans="1:11" s="3" customFormat="1" x14ac:dyDescent="0.25">
      <c r="A84" s="3" t="s">
        <v>20</v>
      </c>
      <c r="B84">
        <v>2966.81</v>
      </c>
      <c r="C84">
        <v>6107.97</v>
      </c>
      <c r="D84">
        <v>6314.5</v>
      </c>
      <c r="E84">
        <v>13193.63</v>
      </c>
      <c r="F84">
        <v>6932.75</v>
      </c>
      <c r="G84">
        <v>406.23</v>
      </c>
      <c r="H84">
        <v>-5882.6</v>
      </c>
      <c r="I84">
        <v>15946.11</v>
      </c>
      <c r="J84">
        <v>12281.41</v>
      </c>
      <c r="K84">
        <v>15834.11</v>
      </c>
    </row>
    <row r="85" spans="1:11" s="1" customFormat="1" x14ac:dyDescent="0.25">
      <c r="A85" s="3" t="s">
        <v>21</v>
      </c>
      <c r="B85">
        <v>-154.4</v>
      </c>
      <c r="C85">
        <v>415.77</v>
      </c>
      <c r="D85">
        <v>1529.14</v>
      </c>
      <c r="E85">
        <v>1672.37</v>
      </c>
      <c r="F85">
        <v>-1393.97</v>
      </c>
      <c r="G85">
        <v>-1370.44</v>
      </c>
      <c r="H85">
        <v>113</v>
      </c>
      <c r="I85">
        <v>5.82</v>
      </c>
      <c r="J85">
        <v>1036.69</v>
      </c>
      <c r="K85">
        <v>383.81</v>
      </c>
    </row>
    <row r="86" spans="1:11" x14ac:dyDescent="0.25">
      <c r="A86" s="3"/>
    </row>
    <row r="87" spans="1:11" x14ac:dyDescent="0.25">
      <c r="A87" s="3"/>
    </row>
    <row r="88" spans="1:11" x14ac:dyDescent="0.25">
      <c r="A88" s="3"/>
    </row>
    <row r="89" spans="1:11" x14ac:dyDescent="0.25">
      <c r="A89" s="3"/>
    </row>
    <row r="90" spans="1:11" s="1" customFormat="1" x14ac:dyDescent="0.25">
      <c r="A90" s="1" t="s">
        <v>42</v>
      </c>
      <c r="B90">
        <v>605.35</v>
      </c>
      <c r="C90">
        <v>643.45000000000005</v>
      </c>
      <c r="D90">
        <v>738.9</v>
      </c>
      <c r="E90">
        <v>673.9</v>
      </c>
      <c r="F90">
        <v>284.95</v>
      </c>
      <c r="G90">
        <v>795.25</v>
      </c>
      <c r="H90">
        <v>806.55</v>
      </c>
      <c r="I90">
        <v>1158.7</v>
      </c>
      <c r="J90">
        <v>1921.35</v>
      </c>
      <c r="K90">
        <v>2665.8</v>
      </c>
    </row>
    <row r="92" spans="1:11" s="1" customFormat="1" x14ac:dyDescent="0.25">
      <c r="A92" s="1" t="s">
        <v>41</v>
      </c>
    </row>
    <row r="93" spans="1:11" x14ac:dyDescent="0.25">
      <c r="A93" s="2" t="s">
        <v>54</v>
      </c>
      <c r="B93" s="7">
        <v>124.22</v>
      </c>
      <c r="C93" s="7">
        <v>124.22</v>
      </c>
      <c r="D93" s="7">
        <v>124.32</v>
      </c>
      <c r="E93" s="7">
        <v>124.32</v>
      </c>
      <c r="F93" s="7">
        <v>124.32</v>
      </c>
      <c r="G93" s="7">
        <v>124.32</v>
      </c>
      <c r="H93" s="7">
        <v>124.32</v>
      </c>
      <c r="I93" s="7">
        <v>124.35</v>
      </c>
      <c r="J93" s="7">
        <v>124.35</v>
      </c>
      <c r="K93" s="7">
        <v>124.35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>
      <selection activeCell="F22" sqref="F22"/>
    </sheetView>
  </sheetViews>
  <sheetFormatPr defaultRowHeight="15" x14ac:dyDescent="0.25"/>
  <cols>
    <col min="1" max="1" width="36.85546875" bestFit="1" customWidth="1"/>
    <col min="2" max="2" width="9.28515625" bestFit="1" customWidth="1"/>
    <col min="3" max="4" width="10.42578125" bestFit="1" customWidth="1"/>
    <col min="5" max="5" width="10.5703125" bestFit="1" customWidth="1"/>
    <col min="6" max="6" width="10.42578125" bestFit="1" customWidth="1"/>
    <col min="7" max="7" width="10.5703125" bestFit="1" customWidth="1"/>
    <col min="8" max="8" width="9.7109375" bestFit="1" customWidth="1"/>
    <col min="9" max="11" width="10.5703125" bestFit="1" customWidth="1"/>
  </cols>
  <sheetData>
    <row r="1" spans="1:13" ht="15.75" thickBot="1" x14ac:dyDescent="0.3">
      <c r="B1" s="12">
        <v>42430</v>
      </c>
      <c r="C1" s="12">
        <v>42795</v>
      </c>
      <c r="D1" s="12">
        <v>43160</v>
      </c>
      <c r="E1" s="12">
        <v>43525</v>
      </c>
      <c r="F1" s="12">
        <v>43891</v>
      </c>
      <c r="G1" s="12">
        <v>44256</v>
      </c>
      <c r="H1" s="12">
        <v>44621</v>
      </c>
      <c r="I1" s="12">
        <v>44986</v>
      </c>
      <c r="J1" s="12">
        <v>45352</v>
      </c>
      <c r="K1" s="12">
        <v>45717</v>
      </c>
    </row>
    <row r="2" spans="1:13" ht="16.5" thickTop="1" thickBot="1" x14ac:dyDescent="0.3">
      <c r="A2" s="13" t="s">
        <v>87</v>
      </c>
      <c r="B2" s="15">
        <v>2385</v>
      </c>
      <c r="C2" s="14">
        <v>183</v>
      </c>
      <c r="D2" s="14">
        <v>682</v>
      </c>
      <c r="E2" s="15">
        <v>-4347</v>
      </c>
      <c r="F2" s="15">
        <v>-1457</v>
      </c>
      <c r="G2" s="15">
        <v>17909</v>
      </c>
      <c r="H2" s="15">
        <v>9248</v>
      </c>
      <c r="I2" s="15">
        <v>-7074</v>
      </c>
      <c r="J2" s="15">
        <v>-5630</v>
      </c>
      <c r="K2" s="15">
        <v>3176</v>
      </c>
    </row>
    <row r="3" spans="1:13" ht="15.75" thickTop="1" x14ac:dyDescent="0.25">
      <c r="A3" s="16" t="s">
        <v>88</v>
      </c>
      <c r="B3" s="15">
        <v>7595</v>
      </c>
      <c r="C3" s="15">
        <v>7911</v>
      </c>
      <c r="D3" s="15">
        <v>10159</v>
      </c>
      <c r="E3" s="15">
        <v>11112</v>
      </c>
      <c r="F3" s="15">
        <v>7774</v>
      </c>
      <c r="G3" s="15">
        <v>7588</v>
      </c>
      <c r="H3" s="15">
        <v>10515</v>
      </c>
      <c r="I3" s="15">
        <v>15642</v>
      </c>
      <c r="J3" s="15">
        <v>17541</v>
      </c>
      <c r="K3" s="15">
        <v>22050</v>
      </c>
    </row>
    <row r="4" spans="1:13" x14ac:dyDescent="0.25">
      <c r="A4" s="17" t="s">
        <v>43</v>
      </c>
      <c r="B4" s="19">
        <v>177</v>
      </c>
      <c r="C4" s="18">
        <v>-8609</v>
      </c>
      <c r="D4" s="18">
        <v>-11918</v>
      </c>
      <c r="E4" s="18">
        <v>-13712</v>
      </c>
      <c r="F4" s="18">
        <v>-1516</v>
      </c>
      <c r="G4" s="18">
        <v>4896</v>
      </c>
      <c r="H4" s="18">
        <v>-2506</v>
      </c>
      <c r="I4" s="18">
        <v>-21702</v>
      </c>
      <c r="J4" s="18">
        <v>-21777</v>
      </c>
      <c r="K4" s="18">
        <v>-3782</v>
      </c>
    </row>
    <row r="5" spans="1:13" x14ac:dyDescent="0.25">
      <c r="A5" s="17" t="s">
        <v>30</v>
      </c>
      <c r="B5" s="18">
        <v>-1113</v>
      </c>
      <c r="C5" s="19">
        <v>241</v>
      </c>
      <c r="D5" s="19">
        <v>-256</v>
      </c>
      <c r="E5" s="18">
        <v>-2276</v>
      </c>
      <c r="F5" s="18">
        <v>1316</v>
      </c>
      <c r="G5" s="19">
        <v>226</v>
      </c>
      <c r="H5" s="18">
        <v>-2173</v>
      </c>
      <c r="I5" s="18">
        <v>-5252</v>
      </c>
      <c r="J5" s="18">
        <v>-1753</v>
      </c>
      <c r="K5" s="18">
        <v>-1646</v>
      </c>
    </row>
    <row r="6" spans="1:13" x14ac:dyDescent="0.25">
      <c r="A6" s="17" t="s">
        <v>89</v>
      </c>
      <c r="B6" s="18">
        <v>1939</v>
      </c>
      <c r="C6" s="18">
        <v>2645</v>
      </c>
      <c r="D6" s="18">
        <v>5361</v>
      </c>
      <c r="E6" s="18">
        <v>3466</v>
      </c>
      <c r="F6" s="18">
        <v>-6775</v>
      </c>
      <c r="G6" s="18">
        <v>7049</v>
      </c>
      <c r="H6" s="18">
        <v>4972</v>
      </c>
      <c r="I6" s="18">
        <v>7013</v>
      </c>
      <c r="J6" s="18">
        <v>4354</v>
      </c>
      <c r="K6" s="18">
        <v>8485</v>
      </c>
      <c r="M6" s="26">
        <f>SUM(B3,B9,B10)</f>
        <v>2384</v>
      </c>
    </row>
    <row r="7" spans="1:13" x14ac:dyDescent="0.25">
      <c r="A7" s="17" t="s">
        <v>90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</row>
    <row r="8" spans="1:13" ht="15.75" thickBot="1" x14ac:dyDescent="0.3">
      <c r="A8" s="17" t="s">
        <v>91</v>
      </c>
      <c r="B8" s="18">
        <v>-4241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8">
        <v>-17170</v>
      </c>
    </row>
    <row r="9" spans="1:13" ht="15.75" thickTop="1" x14ac:dyDescent="0.25">
      <c r="A9" s="16" t="s">
        <v>92</v>
      </c>
      <c r="B9" s="15">
        <v>-3238</v>
      </c>
      <c r="C9" s="15">
        <v>-5724</v>
      </c>
      <c r="D9" s="15">
        <v>-6813</v>
      </c>
      <c r="E9" s="15">
        <v>-12522</v>
      </c>
      <c r="F9" s="15">
        <v>-6974</v>
      </c>
      <c r="G9" s="15">
        <v>12171</v>
      </c>
      <c r="H9" s="14">
        <v>293</v>
      </c>
      <c r="I9" s="15">
        <v>-19941</v>
      </c>
      <c r="J9" s="15">
        <v>-19175</v>
      </c>
      <c r="K9" s="15">
        <v>-14113</v>
      </c>
    </row>
    <row r="10" spans="1:13" ht="15.75" thickBot="1" x14ac:dyDescent="0.3">
      <c r="A10" s="17" t="s">
        <v>93</v>
      </c>
      <c r="B10" s="18">
        <v>-1973</v>
      </c>
      <c r="C10" s="18">
        <v>-2005</v>
      </c>
      <c r="D10" s="18">
        <v>-2664</v>
      </c>
      <c r="E10" s="18">
        <v>-2937</v>
      </c>
      <c r="F10" s="18">
        <v>-2257</v>
      </c>
      <c r="G10" s="18">
        <v>-1850</v>
      </c>
      <c r="H10" s="18">
        <v>-1560</v>
      </c>
      <c r="I10" s="18">
        <v>-2775</v>
      </c>
      <c r="J10" s="18">
        <v>-3996</v>
      </c>
      <c r="K10" s="18">
        <v>-4761</v>
      </c>
    </row>
    <row r="11" spans="1:13" ht="15.75" thickTop="1" x14ac:dyDescent="0.25">
      <c r="A11" s="20" t="s">
        <v>94</v>
      </c>
      <c r="B11" s="21">
        <v>-5506</v>
      </c>
      <c r="C11" s="21">
        <v>-5875</v>
      </c>
      <c r="D11" s="21">
        <v>-5467</v>
      </c>
      <c r="E11" s="21">
        <v>-7174</v>
      </c>
      <c r="F11" s="21">
        <v>-6870</v>
      </c>
      <c r="G11" s="21">
        <v>-19686</v>
      </c>
      <c r="H11" s="21">
        <v>-3252</v>
      </c>
      <c r="I11" s="21">
        <v>-8866</v>
      </c>
      <c r="J11" s="21">
        <v>-5615</v>
      </c>
      <c r="K11" s="21">
        <v>-18626</v>
      </c>
    </row>
    <row r="12" spans="1:13" x14ac:dyDescent="0.25">
      <c r="A12" s="22" t="s">
        <v>95</v>
      </c>
      <c r="B12" s="23">
        <v>-4172</v>
      </c>
      <c r="C12" s="23">
        <v>-5026</v>
      </c>
      <c r="D12" s="23">
        <v>-5906</v>
      </c>
      <c r="E12" s="23">
        <v>-7340</v>
      </c>
      <c r="F12" s="23">
        <v>-6896</v>
      </c>
      <c r="G12" s="23">
        <v>-5989</v>
      </c>
      <c r="H12" s="23">
        <v>-6040</v>
      </c>
      <c r="I12" s="23">
        <v>-6305</v>
      </c>
      <c r="J12" s="23">
        <v>-9946</v>
      </c>
      <c r="K12" s="23">
        <v>-10392</v>
      </c>
    </row>
    <row r="13" spans="1:13" x14ac:dyDescent="0.25">
      <c r="A13" s="22" t="s">
        <v>96</v>
      </c>
      <c r="B13" s="24">
        <v>59</v>
      </c>
      <c r="C13" s="24">
        <v>63</v>
      </c>
      <c r="D13" s="24">
        <v>115</v>
      </c>
      <c r="E13" s="24">
        <v>142</v>
      </c>
      <c r="F13" s="24">
        <v>102</v>
      </c>
      <c r="G13" s="23">
        <v>1364</v>
      </c>
      <c r="H13" s="24">
        <v>120</v>
      </c>
      <c r="I13" s="24">
        <v>138</v>
      </c>
      <c r="J13" s="24">
        <v>273</v>
      </c>
      <c r="K13" s="24">
        <v>583</v>
      </c>
    </row>
    <row r="14" spans="1:13" x14ac:dyDescent="0.25">
      <c r="A14" s="22" t="s">
        <v>97</v>
      </c>
      <c r="B14" s="23">
        <v>-87898</v>
      </c>
      <c r="C14" s="23">
        <v>-132173</v>
      </c>
      <c r="D14" s="23">
        <v>-155159</v>
      </c>
      <c r="E14" s="23">
        <v>-196474</v>
      </c>
      <c r="F14" s="23">
        <v>-198568</v>
      </c>
      <c r="G14" s="23">
        <v>-120055</v>
      </c>
      <c r="H14" s="23">
        <v>-65421</v>
      </c>
      <c r="I14" s="23">
        <v>-50165</v>
      </c>
      <c r="J14" s="23">
        <v>-49927</v>
      </c>
      <c r="K14" s="23">
        <v>-90595</v>
      </c>
    </row>
    <row r="15" spans="1:13" x14ac:dyDescent="0.25">
      <c r="A15" s="22" t="s">
        <v>98</v>
      </c>
      <c r="B15" s="23">
        <v>86436</v>
      </c>
      <c r="C15" s="23">
        <v>130940</v>
      </c>
      <c r="D15" s="23">
        <v>154631</v>
      </c>
      <c r="E15" s="23">
        <v>195898</v>
      </c>
      <c r="F15" s="23">
        <v>198132</v>
      </c>
      <c r="G15" s="23">
        <v>111749</v>
      </c>
      <c r="H15" s="23">
        <v>65127</v>
      </c>
      <c r="I15" s="23">
        <v>46269</v>
      </c>
      <c r="J15" s="23">
        <v>50919</v>
      </c>
      <c r="K15" s="23">
        <v>85634</v>
      </c>
    </row>
    <row r="16" spans="1:13" x14ac:dyDescent="0.25">
      <c r="A16" s="22" t="s">
        <v>99</v>
      </c>
      <c r="B16" s="24">
        <v>311</v>
      </c>
      <c r="C16" s="24">
        <v>346</v>
      </c>
      <c r="D16" s="24">
        <v>254</v>
      </c>
      <c r="E16" s="24">
        <v>314</v>
      </c>
      <c r="F16" s="24">
        <v>372</v>
      </c>
      <c r="G16" s="24">
        <v>431</v>
      </c>
      <c r="H16" s="24">
        <v>420</v>
      </c>
      <c r="I16" s="24">
        <v>464</v>
      </c>
      <c r="J16" s="24">
        <v>703</v>
      </c>
      <c r="K16" s="24">
        <v>884</v>
      </c>
    </row>
    <row r="17" spans="1:11" x14ac:dyDescent="0.25">
      <c r="A17" s="22" t="s">
        <v>100</v>
      </c>
      <c r="B17" s="24">
        <v>208</v>
      </c>
      <c r="C17" s="24">
        <v>409</v>
      </c>
      <c r="D17" s="24">
        <v>316</v>
      </c>
      <c r="E17" s="24">
        <v>466</v>
      </c>
      <c r="F17" s="24">
        <v>722</v>
      </c>
      <c r="G17" s="24">
        <v>577</v>
      </c>
      <c r="H17" s="23">
        <v>1247</v>
      </c>
      <c r="I17" s="23">
        <v>1397</v>
      </c>
      <c r="J17" s="23">
        <v>1213</v>
      </c>
      <c r="K17" s="23">
        <v>1374</v>
      </c>
    </row>
    <row r="18" spans="1:11" x14ac:dyDescent="0.25">
      <c r="A18" s="22" t="s">
        <v>101</v>
      </c>
      <c r="B18" s="24">
        <v>-147</v>
      </c>
      <c r="C18" s="24">
        <v>-647</v>
      </c>
      <c r="D18" s="24">
        <v>-704</v>
      </c>
      <c r="E18" s="24">
        <v>-319</v>
      </c>
      <c r="F18" s="24">
        <v>-418</v>
      </c>
      <c r="G18" s="24">
        <v>-359</v>
      </c>
      <c r="H18" s="24">
        <v>-222</v>
      </c>
      <c r="I18" s="24">
        <v>-62</v>
      </c>
      <c r="J18" s="24">
        <v>-249</v>
      </c>
      <c r="K18" s="24">
        <v>-29</v>
      </c>
    </row>
    <row r="19" spans="1:11" x14ac:dyDescent="0.25">
      <c r="A19" s="22" t="s">
        <v>102</v>
      </c>
      <c r="B19" s="24">
        <v>0</v>
      </c>
      <c r="C19" s="24">
        <v>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</row>
    <row r="20" spans="1:11" x14ac:dyDescent="0.25">
      <c r="A20" s="22" t="s">
        <v>103</v>
      </c>
      <c r="B20" s="24">
        <v>0</v>
      </c>
      <c r="C20" s="24">
        <v>88</v>
      </c>
      <c r="D20" s="23">
        <v>1677</v>
      </c>
      <c r="E20" s="24">
        <v>717</v>
      </c>
      <c r="F20" s="24">
        <v>175</v>
      </c>
      <c r="G20" s="24">
        <v>316</v>
      </c>
      <c r="H20" s="24">
        <v>617</v>
      </c>
      <c r="I20" s="23">
        <v>1863</v>
      </c>
      <c r="J20" s="23">
        <v>1043</v>
      </c>
      <c r="K20" s="24">
        <v>0</v>
      </c>
    </row>
    <row r="21" spans="1:11" x14ac:dyDescent="0.25">
      <c r="A21" s="22" t="s">
        <v>104</v>
      </c>
      <c r="B21" s="24">
        <v>-208</v>
      </c>
      <c r="C21" s="24">
        <v>-83</v>
      </c>
      <c r="D21" s="24">
        <v>-401</v>
      </c>
      <c r="E21" s="24">
        <v>0</v>
      </c>
      <c r="F21" s="24">
        <v>-59</v>
      </c>
      <c r="G21" s="24">
        <v>0</v>
      </c>
      <c r="H21" s="24">
        <v>-42</v>
      </c>
      <c r="I21" s="24">
        <v>-587</v>
      </c>
      <c r="J21" s="24">
        <v>-53</v>
      </c>
      <c r="K21" s="24">
        <v>0</v>
      </c>
    </row>
    <row r="22" spans="1:11" x14ac:dyDescent="0.25">
      <c r="A22" s="22" t="s">
        <v>105</v>
      </c>
      <c r="B22" s="24">
        <v>0</v>
      </c>
      <c r="C22" s="24">
        <v>0</v>
      </c>
      <c r="D22" s="24">
        <v>0</v>
      </c>
      <c r="E22" s="24">
        <v>0</v>
      </c>
      <c r="F22" s="24">
        <v>6</v>
      </c>
      <c r="G22" s="24">
        <v>-262</v>
      </c>
      <c r="H22" s="24">
        <v>-552</v>
      </c>
      <c r="I22" s="24">
        <v>-93</v>
      </c>
      <c r="J22" s="24">
        <v>485</v>
      </c>
      <c r="K22" s="24">
        <v>0</v>
      </c>
    </row>
    <row r="23" spans="1:11" ht="15.75" thickBot="1" x14ac:dyDescent="0.3">
      <c r="A23" s="22" t="s">
        <v>106</v>
      </c>
      <c r="B23" s="24">
        <v>-94</v>
      </c>
      <c r="C23" s="24">
        <v>209</v>
      </c>
      <c r="D23" s="24">
        <v>-290</v>
      </c>
      <c r="E23" s="24">
        <v>-577</v>
      </c>
      <c r="F23" s="24">
        <v>-437</v>
      </c>
      <c r="G23" s="23">
        <v>-7457</v>
      </c>
      <c r="H23" s="23">
        <v>1494</v>
      </c>
      <c r="I23" s="23">
        <v>-1786</v>
      </c>
      <c r="J23" s="24">
        <v>-78</v>
      </c>
      <c r="K23" s="23">
        <v>-6085</v>
      </c>
    </row>
    <row r="24" spans="1:11" ht="15.75" thickTop="1" x14ac:dyDescent="0.25">
      <c r="A24" s="13" t="s">
        <v>107</v>
      </c>
      <c r="B24" s="15">
        <v>2967</v>
      </c>
      <c r="C24" s="15">
        <v>6108</v>
      </c>
      <c r="D24" s="15">
        <v>6314</v>
      </c>
      <c r="E24" s="15">
        <v>13194</v>
      </c>
      <c r="F24" s="15">
        <v>6933</v>
      </c>
      <c r="G24" s="14">
        <v>406</v>
      </c>
      <c r="H24" s="15">
        <v>-5883</v>
      </c>
      <c r="I24" s="15">
        <v>15946</v>
      </c>
      <c r="J24" s="15">
        <v>12281</v>
      </c>
      <c r="K24" s="15">
        <v>15834</v>
      </c>
    </row>
    <row r="25" spans="1:11" x14ac:dyDescent="0.25">
      <c r="A25" s="17" t="s">
        <v>108</v>
      </c>
      <c r="B25" s="19">
        <v>18</v>
      </c>
      <c r="C25" s="19">
        <v>12</v>
      </c>
      <c r="D25" s="19">
        <v>4</v>
      </c>
      <c r="E25" s="19">
        <v>1</v>
      </c>
      <c r="F25" s="18">
        <v>1243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</row>
    <row r="26" spans="1:11" x14ac:dyDescent="0.25">
      <c r="A26" s="17" t="s">
        <v>109</v>
      </c>
      <c r="B26" s="19">
        <v>0</v>
      </c>
      <c r="C26" s="19">
        <v>0</v>
      </c>
      <c r="D26" s="19">
        <v>0</v>
      </c>
      <c r="E26" s="18">
        <v>71389</v>
      </c>
      <c r="F26" s="18">
        <v>52618</v>
      </c>
      <c r="G26" s="18">
        <v>38100</v>
      </c>
      <c r="H26" s="18">
        <v>53880</v>
      </c>
      <c r="I26" s="18">
        <v>55622</v>
      </c>
      <c r="J26" s="18">
        <v>61308</v>
      </c>
      <c r="K26" s="18">
        <v>84640</v>
      </c>
    </row>
    <row r="27" spans="1:11" x14ac:dyDescent="0.25">
      <c r="A27" s="17" t="s">
        <v>110</v>
      </c>
      <c r="B27" s="19">
        <v>0</v>
      </c>
      <c r="C27" s="19">
        <v>0</v>
      </c>
      <c r="D27" s="19">
        <v>0</v>
      </c>
      <c r="E27" s="18">
        <v>-56352</v>
      </c>
      <c r="F27" s="18">
        <v>-44044</v>
      </c>
      <c r="G27" s="18">
        <v>-37505</v>
      </c>
      <c r="H27" s="18">
        <v>-57223</v>
      </c>
      <c r="I27" s="18">
        <v>-37056</v>
      </c>
      <c r="J27" s="18">
        <v>-46805</v>
      </c>
      <c r="K27" s="18">
        <v>-64227</v>
      </c>
    </row>
    <row r="28" spans="1:11" x14ac:dyDescent="0.25">
      <c r="A28" s="17" t="s">
        <v>111</v>
      </c>
      <c r="B28" s="19">
        <v>-443</v>
      </c>
      <c r="C28" s="19">
        <v>-471</v>
      </c>
      <c r="D28" s="19">
        <v>-521</v>
      </c>
      <c r="E28" s="19">
        <v>-723</v>
      </c>
      <c r="F28" s="19">
        <v>-624</v>
      </c>
      <c r="G28" s="19">
        <v>-809</v>
      </c>
      <c r="H28" s="19">
        <v>-680</v>
      </c>
      <c r="I28" s="19">
        <v>-734</v>
      </c>
      <c r="J28" s="19">
        <v>-597</v>
      </c>
      <c r="K28" s="19">
        <v>-436</v>
      </c>
    </row>
    <row r="29" spans="1:11" x14ac:dyDescent="0.25">
      <c r="A29" s="17" t="s">
        <v>112</v>
      </c>
      <c r="B29" s="19">
        <v>-932</v>
      </c>
      <c r="C29" s="19">
        <v>-936</v>
      </c>
      <c r="D29" s="19">
        <v>-963</v>
      </c>
      <c r="E29" s="18">
        <v>-1134</v>
      </c>
      <c r="F29" s="18">
        <v>-1398</v>
      </c>
      <c r="G29" s="19">
        <v>-271</v>
      </c>
      <c r="H29" s="18">
        <v>-1037</v>
      </c>
      <c r="I29" s="18">
        <v>-1522</v>
      </c>
      <c r="J29" s="18">
        <v>-2247</v>
      </c>
      <c r="K29" s="18">
        <v>-2806</v>
      </c>
    </row>
    <row r="30" spans="1:11" x14ac:dyDescent="0.25">
      <c r="A30" s="17" t="s">
        <v>113</v>
      </c>
      <c r="B30" s="19">
        <v>0</v>
      </c>
      <c r="C30" s="19">
        <v>0</v>
      </c>
      <c r="D30" s="19">
        <v>0</v>
      </c>
      <c r="E30" s="19">
        <v>0</v>
      </c>
      <c r="F30" s="19">
        <v>-558</v>
      </c>
      <c r="G30" s="19">
        <v>-553</v>
      </c>
      <c r="H30" s="19">
        <v>-583</v>
      </c>
      <c r="I30" s="19">
        <v>-751</v>
      </c>
      <c r="J30" s="19">
        <v>-786</v>
      </c>
      <c r="K30" s="18">
        <v>-1774</v>
      </c>
    </row>
    <row r="31" spans="1:11" ht="15.75" thickBot="1" x14ac:dyDescent="0.3">
      <c r="A31" s="17" t="s">
        <v>114</v>
      </c>
      <c r="B31" s="18">
        <v>4324</v>
      </c>
      <c r="C31" s="18">
        <v>7503</v>
      </c>
      <c r="D31" s="18">
        <v>7794</v>
      </c>
      <c r="E31" s="19">
        <v>12</v>
      </c>
      <c r="F31" s="19">
        <v>-304</v>
      </c>
      <c r="G31" s="18">
        <v>1444</v>
      </c>
      <c r="H31" s="19">
        <v>-240</v>
      </c>
      <c r="I31" s="19">
        <v>386</v>
      </c>
      <c r="J31" s="18">
        <v>1408</v>
      </c>
      <c r="K31" s="19">
        <v>437</v>
      </c>
    </row>
    <row r="32" spans="1:11" ht="15.75" thickTop="1" x14ac:dyDescent="0.25">
      <c r="A32" s="20" t="s">
        <v>21</v>
      </c>
      <c r="B32" s="25">
        <v>-154</v>
      </c>
      <c r="C32" s="25">
        <v>416</v>
      </c>
      <c r="D32" s="21">
        <v>1529</v>
      </c>
      <c r="E32" s="21">
        <v>1672</v>
      </c>
      <c r="F32" s="21">
        <v>-1394</v>
      </c>
      <c r="G32" s="21">
        <v>-1370</v>
      </c>
      <c r="H32" s="25">
        <v>113</v>
      </c>
      <c r="I32" s="25">
        <v>6</v>
      </c>
      <c r="J32" s="21">
        <v>1037</v>
      </c>
      <c r="K32" s="25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04"/>
  <sheetViews>
    <sheetView showGridLines="0" zoomScale="93" zoomScaleNormal="93" workbookViewId="0">
      <pane ySplit="3" topLeftCell="A55" activePane="bottomLeft" state="frozen"/>
      <selection pane="bottomLeft" activeCell="C5" sqref="C5"/>
    </sheetView>
  </sheetViews>
  <sheetFormatPr defaultRowHeight="15" x14ac:dyDescent="0.25"/>
  <cols>
    <col min="1" max="1" width="4.28515625" customWidth="1"/>
    <col min="2" max="2" width="31.7109375" customWidth="1"/>
    <col min="3" max="5" width="12" bestFit="1" customWidth="1"/>
    <col min="6" max="7" width="12.7109375" bestFit="1" customWidth="1"/>
    <col min="8" max="12" width="12" bestFit="1" customWidth="1"/>
  </cols>
  <sheetData>
    <row r="2" spans="1:13" x14ac:dyDescent="0.25">
      <c r="B2" s="48" t="str">
        <f>"Historical Financial Statement - "&amp;'Data Sheet'!B1:C1&amp;"(In Crores)"</f>
        <v>Historical Financial Statement - MAHINDRA &amp; MAHINDRA LTD(In Crores)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x14ac:dyDescent="0.25">
      <c r="B3" s="31" t="s">
        <v>78</v>
      </c>
      <c r="C3" s="32">
        <f>'Data Sheet'!B16</f>
        <v>42460</v>
      </c>
      <c r="D3" s="32">
        <f>'Data Sheet'!C16</f>
        <v>42825</v>
      </c>
      <c r="E3" s="32">
        <f>'Data Sheet'!D16</f>
        <v>43190</v>
      </c>
      <c r="F3" s="32">
        <f>'Data Sheet'!E16</f>
        <v>43555</v>
      </c>
      <c r="G3" s="32">
        <f>'Data Sheet'!F16</f>
        <v>43921</v>
      </c>
      <c r="H3" s="32">
        <f>'Data Sheet'!G16</f>
        <v>44286</v>
      </c>
      <c r="I3" s="32">
        <f>'Data Sheet'!H16</f>
        <v>44651</v>
      </c>
      <c r="J3" s="32">
        <f>'Data Sheet'!I16</f>
        <v>45016</v>
      </c>
      <c r="K3" s="32">
        <f>'Data Sheet'!J16</f>
        <v>45382</v>
      </c>
      <c r="L3" s="32">
        <f>'Data Sheet'!K16</f>
        <v>45747</v>
      </c>
      <c r="M3" s="34"/>
    </row>
    <row r="4" spans="1:13" x14ac:dyDescent="0.25">
      <c r="A4" t="s">
        <v>77</v>
      </c>
      <c r="B4" s="8" t="s">
        <v>55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25">
      <c r="B5" t="s">
        <v>1</v>
      </c>
      <c r="C5">
        <f>IFERROR('Data Sheet'!B17,0)</f>
        <v>75841.42</v>
      </c>
      <c r="D5">
        <f>IFERROR('Data Sheet'!C17,0)</f>
        <v>83773.05</v>
      </c>
      <c r="E5">
        <f>IFERROR('Data Sheet'!D17,0)</f>
        <v>92093.95</v>
      </c>
      <c r="F5">
        <f>IFERROR('Data Sheet'!E17,0)</f>
        <v>104720.68</v>
      </c>
      <c r="G5">
        <f>IFERROR('Data Sheet'!F17,0)</f>
        <v>75381.929999999993</v>
      </c>
      <c r="H5">
        <f>IFERROR('Data Sheet'!G17,0)</f>
        <v>74277.78</v>
      </c>
      <c r="I5">
        <f>IFERROR('Data Sheet'!H17,0)</f>
        <v>90170.57</v>
      </c>
      <c r="J5">
        <f>IFERROR('Data Sheet'!I17,0)</f>
        <v>121268.55</v>
      </c>
      <c r="K5">
        <f>IFERROR('Data Sheet'!J17,0)</f>
        <v>139078.26999999999</v>
      </c>
      <c r="L5">
        <f>IFERROR('Data Sheet'!K17,0)</f>
        <v>159210.82</v>
      </c>
    </row>
    <row r="6" spans="1:13" x14ac:dyDescent="0.25">
      <c r="B6" s="9" t="s">
        <v>10</v>
      </c>
      <c r="C6" s="27" t="s">
        <v>79</v>
      </c>
      <c r="D6" s="28">
        <f>IFERROR(D5/C5-1,0)</f>
        <v>0.10458177075271013</v>
      </c>
      <c r="E6" s="28">
        <f t="shared" ref="E6:L6" si="0">IFERROR(E5/D5-1,0)</f>
        <v>9.9326692772914393E-2</v>
      </c>
      <c r="F6" s="28">
        <f t="shared" si="0"/>
        <v>0.13710705209191265</v>
      </c>
      <c r="G6" s="28">
        <f t="shared" si="0"/>
        <v>-0.28016195082002904</v>
      </c>
      <c r="H6" s="28">
        <f t="shared" si="0"/>
        <v>-1.4647409531700739E-2</v>
      </c>
      <c r="I6" s="28">
        <f t="shared" si="0"/>
        <v>0.21396425687466714</v>
      </c>
      <c r="J6" s="28">
        <f t="shared" si="0"/>
        <v>0.3448794878417647</v>
      </c>
      <c r="K6" s="28">
        <f t="shared" si="0"/>
        <v>0.14686182031532491</v>
      </c>
      <c r="L6" s="28">
        <f t="shared" si="0"/>
        <v>0.14475697749188288</v>
      </c>
    </row>
    <row r="8" spans="1:13" x14ac:dyDescent="0.25">
      <c r="B8" t="s">
        <v>56</v>
      </c>
      <c r="C8">
        <f>IFERROR(SUM('Data Sheet'!B18,'Data Sheet'!B20,'Data Sheet'!B22,'Data Sheet'!B21)-'Data Sheet'!B19,0)</f>
        <v>56073.909999999996</v>
      </c>
      <c r="D8">
        <f>IFERROR(SUM('Data Sheet'!C18,'Data Sheet'!C20,'Data Sheet'!C22,'Data Sheet'!C21)-'Data Sheet'!C19,0)</f>
        <v>63464.359999999993</v>
      </c>
      <c r="E8">
        <f>IFERROR(SUM('Data Sheet'!D18,'Data Sheet'!D20,'Data Sheet'!D22,'Data Sheet'!D21)-'Data Sheet'!D19,0)</f>
        <v>67869.400000000009</v>
      </c>
      <c r="F8">
        <f>IFERROR(SUM('Data Sheet'!E18,'Data Sheet'!E20,'Data Sheet'!E22,'Data Sheet'!E21)-'Data Sheet'!E19,0)</f>
        <v>76462.900000000009</v>
      </c>
      <c r="G8">
        <f>IFERROR(SUM('Data Sheet'!F18,'Data Sheet'!F20,'Data Sheet'!F22,'Data Sheet'!F21)-'Data Sheet'!F19,0)</f>
        <v>50445.450000000004</v>
      </c>
      <c r="H8">
        <f>IFERROR(SUM('Data Sheet'!G18,'Data Sheet'!G20,'Data Sheet'!G22,'Data Sheet'!G21)-'Data Sheet'!G19,0)</f>
        <v>49173.009999999995</v>
      </c>
      <c r="I8">
        <f>IFERROR(SUM('Data Sheet'!H18,'Data Sheet'!H20,'Data Sheet'!H22,'Data Sheet'!H21)-'Data Sheet'!H19,0)</f>
        <v>63855.469999999987</v>
      </c>
      <c r="J8">
        <f>IFERROR(SUM('Data Sheet'!I18,'Data Sheet'!I20,'Data Sheet'!I22,'Data Sheet'!I21)-'Data Sheet'!I19,0)</f>
        <v>88334.409999999989</v>
      </c>
      <c r="K8">
        <f>IFERROR(SUM('Data Sheet'!J18,'Data Sheet'!J20,'Data Sheet'!J22,'Data Sheet'!J21)-'Data Sheet'!J19,0)</f>
        <v>98783.56</v>
      </c>
      <c r="L8">
        <f>IFERROR(SUM('Data Sheet'!K18,'Data Sheet'!K20,'Data Sheet'!K22,'Data Sheet'!K21)-'Data Sheet'!K19,0)</f>
        <v>106868.89</v>
      </c>
    </row>
    <row r="9" spans="1:13" x14ac:dyDescent="0.25">
      <c r="B9" s="9" t="s">
        <v>57</v>
      </c>
      <c r="C9" s="28">
        <f>IFERROR(C8/C5,0)</f>
        <v>0.73935733270816917</v>
      </c>
      <c r="D9" s="28">
        <f t="shared" ref="D9:L9" si="1">IFERROR(D8/D5,0)</f>
        <v>0.75757490028117624</v>
      </c>
      <c r="E9" s="28">
        <f t="shared" si="1"/>
        <v>0.73695829096265297</v>
      </c>
      <c r="F9" s="28">
        <f t="shared" si="1"/>
        <v>0.73016046114291866</v>
      </c>
      <c r="G9" s="28">
        <f t="shared" si="1"/>
        <v>0.66919817521254776</v>
      </c>
      <c r="H9" s="28">
        <f t="shared" si="1"/>
        <v>0.66201507368690871</v>
      </c>
      <c r="I9" s="28">
        <f t="shared" si="1"/>
        <v>0.70816309578613046</v>
      </c>
      <c r="J9" s="28">
        <f t="shared" si="1"/>
        <v>0.72841977577863337</v>
      </c>
      <c r="K9" s="28">
        <f t="shared" si="1"/>
        <v>0.71027314331706892</v>
      </c>
      <c r="L9" s="28">
        <f t="shared" si="1"/>
        <v>0.67124137668532824</v>
      </c>
    </row>
    <row r="11" spans="1:13" x14ac:dyDescent="0.25">
      <c r="B11" t="s">
        <v>58</v>
      </c>
      <c r="C11">
        <f>IFERROR(C5-C8,0)</f>
        <v>19767.510000000002</v>
      </c>
      <c r="D11">
        <f t="shared" ref="D11:L11" si="2">IFERROR(D5-D8,0)</f>
        <v>20308.69000000001</v>
      </c>
      <c r="E11">
        <f t="shared" si="2"/>
        <v>24224.549999999988</v>
      </c>
      <c r="F11">
        <f t="shared" si="2"/>
        <v>28257.779999999984</v>
      </c>
      <c r="G11">
        <f t="shared" si="2"/>
        <v>24936.479999999989</v>
      </c>
      <c r="H11">
        <f t="shared" si="2"/>
        <v>25104.770000000004</v>
      </c>
      <c r="I11">
        <f t="shared" si="2"/>
        <v>26315.10000000002</v>
      </c>
      <c r="J11">
        <f t="shared" si="2"/>
        <v>32934.140000000014</v>
      </c>
      <c r="K11">
        <f t="shared" si="2"/>
        <v>40294.709999999992</v>
      </c>
      <c r="L11">
        <f t="shared" si="2"/>
        <v>52341.930000000008</v>
      </c>
    </row>
    <row r="12" spans="1:13" x14ac:dyDescent="0.25">
      <c r="B12" s="9" t="s">
        <v>59</v>
      </c>
      <c r="C12" s="28">
        <f>IFERROR(C11/C5,0)</f>
        <v>0.26064266729183078</v>
      </c>
      <c r="D12" s="28">
        <f t="shared" ref="D12:L12" si="3">IFERROR(D11/D5,0)</f>
        <v>0.24242509971882376</v>
      </c>
      <c r="E12" s="28">
        <f t="shared" si="3"/>
        <v>0.26304170903734708</v>
      </c>
      <c r="F12" s="28">
        <f t="shared" si="3"/>
        <v>0.2698395388570814</v>
      </c>
      <c r="G12" s="28">
        <f t="shared" si="3"/>
        <v>0.33080182478745224</v>
      </c>
      <c r="H12" s="28">
        <f t="shared" si="3"/>
        <v>0.33798492631309129</v>
      </c>
      <c r="I12" s="28">
        <f t="shared" si="3"/>
        <v>0.29183690421386954</v>
      </c>
      <c r="J12" s="28">
        <f t="shared" si="3"/>
        <v>0.27158022422136663</v>
      </c>
      <c r="K12" s="28">
        <f t="shared" si="3"/>
        <v>0.28972685668293108</v>
      </c>
      <c r="L12" s="28">
        <f t="shared" si="3"/>
        <v>0.32875862331467176</v>
      </c>
    </row>
    <row r="14" spans="1:13" x14ac:dyDescent="0.25">
      <c r="B14" t="s">
        <v>60</v>
      </c>
      <c r="C14">
        <f>IFERROR(SUM('Data Sheet'!B23:B24)-'Data Sheet'!B25,0)</f>
        <v>8286.24</v>
      </c>
      <c r="D14">
        <f>IFERROR(SUM('Data Sheet'!C23:C24)-'Data Sheet'!C25,0)</f>
        <v>7497.25</v>
      </c>
      <c r="E14">
        <f>IFERROR(SUM('Data Sheet'!D23:D24)-'Data Sheet'!D25,0)</f>
        <v>6632.0400000000009</v>
      </c>
      <c r="F14">
        <f>IFERROR(SUM('Data Sheet'!E23:E24)-'Data Sheet'!E25,0)</f>
        <v>10374.82</v>
      </c>
      <c r="G14">
        <f>IFERROR(SUM('Data Sheet'!F23:F24)-'Data Sheet'!F25,0)</f>
        <v>13894.039999999999</v>
      </c>
      <c r="H14">
        <f>IFERROR(SUM('Data Sheet'!G23:G24)-'Data Sheet'!G25,0)</f>
        <v>12466.24</v>
      </c>
      <c r="I14">
        <f>IFERROR(SUM('Data Sheet'!H23:H24)-'Data Sheet'!H25,0)</f>
        <v>8427.7800000000007</v>
      </c>
      <c r="J14">
        <f>IFERROR(SUM('Data Sheet'!I23:I24)-'Data Sheet'!I25,0)</f>
        <v>8687.3999999999978</v>
      </c>
      <c r="K14">
        <f>IFERROR(SUM('Data Sheet'!J23:J24)-'Data Sheet'!J25,0)</f>
        <v>12104.93</v>
      </c>
      <c r="L14">
        <f>IFERROR(SUM('Data Sheet'!K23:K24)-'Data Sheet'!K25,0)</f>
        <v>18105.27</v>
      </c>
    </row>
    <row r="15" spans="1:13" x14ac:dyDescent="0.25">
      <c r="B15" s="9" t="s">
        <v>61</v>
      </c>
      <c r="C15" s="28">
        <f>IFERROR(C14/C5,0)</f>
        <v>0.10925744797499835</v>
      </c>
      <c r="D15" s="28">
        <f t="shared" ref="D15:L15" si="4">IFERROR(D14/D5,0)</f>
        <v>8.9494771886662827E-2</v>
      </c>
      <c r="E15" s="28">
        <f t="shared" si="4"/>
        <v>7.2013851072736057E-2</v>
      </c>
      <c r="F15" s="28">
        <f t="shared" si="4"/>
        <v>9.9071358207376045E-2</v>
      </c>
      <c r="G15" s="28">
        <f t="shared" si="4"/>
        <v>0.18431525963848366</v>
      </c>
      <c r="H15" s="28">
        <f t="shared" si="4"/>
        <v>0.16783269505362169</v>
      </c>
      <c r="I15" s="28">
        <f t="shared" si="4"/>
        <v>9.3464863314050253E-2</v>
      </c>
      <c r="J15" s="28">
        <f t="shared" si="4"/>
        <v>7.1637699964252871E-2</v>
      </c>
      <c r="K15" s="28">
        <f t="shared" si="4"/>
        <v>8.7036817469760025E-2</v>
      </c>
      <c r="L15" s="28">
        <f t="shared" si="4"/>
        <v>0.11371884147069904</v>
      </c>
    </row>
    <row r="17" spans="2:12" x14ac:dyDescent="0.25">
      <c r="B17" t="s">
        <v>62</v>
      </c>
      <c r="C17">
        <f>IFERROR(C11-C14,0)</f>
        <v>11481.270000000002</v>
      </c>
      <c r="D17">
        <f t="shared" ref="D17:L17" si="5">IFERROR(D11-D14,0)</f>
        <v>12811.44000000001</v>
      </c>
      <c r="E17">
        <f t="shared" si="5"/>
        <v>17592.509999999987</v>
      </c>
      <c r="F17">
        <f t="shared" si="5"/>
        <v>17882.959999999985</v>
      </c>
      <c r="G17">
        <f t="shared" si="5"/>
        <v>11042.43999999999</v>
      </c>
      <c r="H17">
        <f t="shared" si="5"/>
        <v>12638.530000000004</v>
      </c>
      <c r="I17">
        <f t="shared" si="5"/>
        <v>17887.320000000022</v>
      </c>
      <c r="J17">
        <f t="shared" si="5"/>
        <v>24246.740000000016</v>
      </c>
      <c r="K17">
        <f t="shared" si="5"/>
        <v>28189.779999999992</v>
      </c>
      <c r="L17">
        <f t="shared" si="5"/>
        <v>34236.660000000003</v>
      </c>
    </row>
    <row r="18" spans="2:12" x14ac:dyDescent="0.25">
      <c r="B18" s="9" t="s">
        <v>63</v>
      </c>
      <c r="C18" s="28">
        <f>IFERROR(C17/C5,0)</f>
        <v>0.15138521931683244</v>
      </c>
      <c r="D18" s="28">
        <f t="shared" ref="D18:L18" si="6">IFERROR(D17/D5,0)</f>
        <v>0.15293032783216093</v>
      </c>
      <c r="E18" s="28">
        <f t="shared" si="6"/>
        <v>0.191027857964611</v>
      </c>
      <c r="F18" s="28">
        <f t="shared" si="6"/>
        <v>0.17076818064970534</v>
      </c>
      <c r="G18" s="28">
        <f t="shared" si="6"/>
        <v>0.1464865651489686</v>
      </c>
      <c r="H18" s="28">
        <f t="shared" si="6"/>
        <v>0.17015223125946957</v>
      </c>
      <c r="I18" s="28">
        <f t="shared" si="6"/>
        <v>0.1983720408998193</v>
      </c>
      <c r="J18" s="28">
        <f t="shared" si="6"/>
        <v>0.19994252425711379</v>
      </c>
      <c r="K18" s="28">
        <f t="shared" si="6"/>
        <v>0.20269003921317108</v>
      </c>
      <c r="L18" s="28">
        <f t="shared" si="6"/>
        <v>0.21503978184397268</v>
      </c>
    </row>
    <row r="20" spans="2:12" x14ac:dyDescent="0.25">
      <c r="B20" t="s">
        <v>6</v>
      </c>
      <c r="C20">
        <f>IFERROR('Data Sheet'!B27,0)</f>
        <v>3367.59</v>
      </c>
      <c r="D20">
        <f>IFERROR('Data Sheet'!C27,0)</f>
        <v>3648.46</v>
      </c>
      <c r="E20">
        <f>IFERROR('Data Sheet'!D27,0)</f>
        <v>3987.09</v>
      </c>
      <c r="F20">
        <f>IFERROR('Data Sheet'!E27,0)</f>
        <v>5021.3500000000004</v>
      </c>
      <c r="G20">
        <f>IFERROR('Data Sheet'!F27,0)</f>
        <v>6021.15</v>
      </c>
      <c r="H20">
        <f>IFERROR('Data Sheet'!G27,0)</f>
        <v>6102.22</v>
      </c>
      <c r="I20">
        <f>IFERROR('Data Sheet'!H27,0)</f>
        <v>5018.05</v>
      </c>
      <c r="J20">
        <f>IFERROR('Data Sheet'!I27,0)</f>
        <v>5829.7</v>
      </c>
      <c r="K20">
        <f>IFERROR('Data Sheet'!J27,0)</f>
        <v>7488.21</v>
      </c>
      <c r="L20">
        <f>IFERROR('Data Sheet'!K27,0)</f>
        <v>9083.39</v>
      </c>
    </row>
    <row r="21" spans="2:12" x14ac:dyDescent="0.25">
      <c r="B21" s="9" t="s">
        <v>64</v>
      </c>
      <c r="C21" s="28">
        <f>IFERROR(C20/C5,0)</f>
        <v>4.4403045196147441E-2</v>
      </c>
      <c r="D21" s="28">
        <f t="shared" ref="D21:L21" si="7">IFERROR(D20/D5,0)</f>
        <v>4.3551715020522706E-2</v>
      </c>
      <c r="E21" s="28">
        <f t="shared" si="7"/>
        <v>4.3293723420485278E-2</v>
      </c>
      <c r="F21" s="28">
        <f t="shared" si="7"/>
        <v>4.7949936917903904E-2</v>
      </c>
      <c r="G21" s="28">
        <f t="shared" si="7"/>
        <v>7.9875243310963254E-2</v>
      </c>
      <c r="H21" s="28">
        <f t="shared" si="7"/>
        <v>8.2154043914613506E-2</v>
      </c>
      <c r="I21" s="28">
        <f t="shared" si="7"/>
        <v>5.5650640780023901E-2</v>
      </c>
      <c r="J21" s="28">
        <f t="shared" si="7"/>
        <v>4.8072645380851008E-2</v>
      </c>
      <c r="K21" s="28">
        <f t="shared" si="7"/>
        <v>5.3841696477817856E-2</v>
      </c>
      <c r="L21" s="28">
        <f t="shared" si="7"/>
        <v>5.7052592279846298E-2</v>
      </c>
    </row>
    <row r="23" spans="2:12" x14ac:dyDescent="0.25">
      <c r="B23" t="s">
        <v>5</v>
      </c>
      <c r="C23">
        <f>IFERROR('Data Sheet'!B26,0)</f>
        <v>2441.65</v>
      </c>
      <c r="D23">
        <f>IFERROR('Data Sheet'!C26,0)</f>
        <v>2812.72</v>
      </c>
      <c r="E23">
        <f>IFERROR('Data Sheet'!D26,0)</f>
        <v>3279.9</v>
      </c>
      <c r="F23">
        <f>IFERROR('Data Sheet'!E26,0)</f>
        <v>3990.77</v>
      </c>
      <c r="G23">
        <f>IFERROR('Data Sheet'!F26,0)</f>
        <v>3366.68</v>
      </c>
      <c r="H23">
        <f>IFERROR('Data Sheet'!G26,0)</f>
        <v>3378.11</v>
      </c>
      <c r="I23">
        <f>IFERROR('Data Sheet'!H26,0)</f>
        <v>3507.5</v>
      </c>
      <c r="J23">
        <f>IFERROR('Data Sheet'!I26,0)</f>
        <v>4356.8100000000004</v>
      </c>
      <c r="K23">
        <f>IFERROR('Data Sheet'!J26,0)</f>
        <v>4723.78</v>
      </c>
      <c r="L23">
        <f>IFERROR('Data Sheet'!K26,0)</f>
        <v>6073.65</v>
      </c>
    </row>
    <row r="24" spans="2:12" x14ac:dyDescent="0.25">
      <c r="B24" s="9" t="s">
        <v>65</v>
      </c>
      <c r="C24" s="28">
        <f>IFERROR(C23/C5,0)</f>
        <v>3.2194149318406751E-2</v>
      </c>
      <c r="D24" s="28">
        <f t="shared" ref="D24:L24" si="8">IFERROR(D23/D5,0)</f>
        <v>3.3575475645210476E-2</v>
      </c>
      <c r="E24" s="28">
        <f t="shared" si="8"/>
        <v>3.5614717361998269E-2</v>
      </c>
      <c r="F24" s="28">
        <f t="shared" si="8"/>
        <v>3.8108709760097052E-2</v>
      </c>
      <c r="G24" s="28">
        <f t="shared" si="8"/>
        <v>4.4661631773025713E-2</v>
      </c>
      <c r="H24" s="28">
        <f t="shared" si="8"/>
        <v>4.5479415243697377E-2</v>
      </c>
      <c r="I24" s="28">
        <f t="shared" si="8"/>
        <v>3.8898500918869643E-2</v>
      </c>
      <c r="J24" s="28">
        <f t="shared" si="8"/>
        <v>3.5926957154183835E-2</v>
      </c>
      <c r="K24" s="28">
        <f t="shared" si="8"/>
        <v>3.3964903359813149E-2</v>
      </c>
      <c r="L24" s="28">
        <f t="shared" si="8"/>
        <v>3.8148475084796366E-2</v>
      </c>
    </row>
    <row r="26" spans="2:12" x14ac:dyDescent="0.25">
      <c r="B26" t="s">
        <v>66</v>
      </c>
      <c r="C26">
        <f>IFERROR(C17-SUM(C20,C23),0)</f>
        <v>5672.0300000000025</v>
      </c>
      <c r="D26">
        <f t="shared" ref="D26:L26" si="9">IFERROR(D17-SUM(D20,D23),0)</f>
        <v>6350.2600000000093</v>
      </c>
      <c r="E26">
        <f t="shared" si="9"/>
        <v>10325.519999999988</v>
      </c>
      <c r="F26">
        <f t="shared" si="9"/>
        <v>8870.8399999999838</v>
      </c>
      <c r="G26">
        <f t="shared" si="9"/>
        <v>1654.6099999999897</v>
      </c>
      <c r="H26">
        <f t="shared" si="9"/>
        <v>3158.2000000000044</v>
      </c>
      <c r="I26">
        <f t="shared" si="9"/>
        <v>9361.7700000000223</v>
      </c>
      <c r="J26">
        <f t="shared" si="9"/>
        <v>14060.230000000016</v>
      </c>
      <c r="K26">
        <f t="shared" si="9"/>
        <v>15977.789999999992</v>
      </c>
      <c r="L26">
        <f t="shared" si="9"/>
        <v>19079.620000000003</v>
      </c>
    </row>
    <row r="27" spans="2:12" x14ac:dyDescent="0.25">
      <c r="B27" s="9" t="s">
        <v>67</v>
      </c>
      <c r="C27" s="28">
        <f>IFERROR(C26/C5,0)</f>
        <v>7.4788024802278266E-2</v>
      </c>
      <c r="D27" s="28">
        <f t="shared" ref="D27:L27" si="10">IFERROR(D26/D5,0)</f>
        <v>7.5803137166427739E-2</v>
      </c>
      <c r="E27" s="28">
        <f t="shared" si="10"/>
        <v>0.11211941718212746</v>
      </c>
      <c r="F27" s="28">
        <f t="shared" si="10"/>
        <v>8.4709533971704387E-2</v>
      </c>
      <c r="G27" s="28">
        <f t="shared" si="10"/>
        <v>2.194969006497963E-2</v>
      </c>
      <c r="H27" s="28">
        <f t="shared" si="10"/>
        <v>4.251877210115871E-2</v>
      </c>
      <c r="I27" s="28">
        <f t="shared" si="10"/>
        <v>0.10382289920092577</v>
      </c>
      <c r="J27" s="28">
        <f t="shared" si="10"/>
        <v>0.11594292172207894</v>
      </c>
      <c r="K27" s="28">
        <f t="shared" si="10"/>
        <v>0.11488343937554006</v>
      </c>
      <c r="L27" s="28">
        <f t="shared" si="10"/>
        <v>0.11983871447932999</v>
      </c>
    </row>
    <row r="29" spans="2:12" x14ac:dyDescent="0.25">
      <c r="B29" t="s">
        <v>8</v>
      </c>
      <c r="C29">
        <f>IFERROR('Data Sheet'!B29,0)</f>
        <v>2117.5300000000002</v>
      </c>
      <c r="D29">
        <f>IFERROR('Data Sheet'!C29,0)</f>
        <v>2299.73</v>
      </c>
      <c r="E29">
        <f>IFERROR('Data Sheet'!D29,0)</f>
        <v>2367.73</v>
      </c>
      <c r="F29">
        <f>IFERROR('Data Sheet'!E29,0)</f>
        <v>2853.99</v>
      </c>
      <c r="G29">
        <f>IFERROR('Data Sheet'!F29,0)</f>
        <v>1975.61</v>
      </c>
      <c r="H29">
        <f>IFERROR('Data Sheet'!G29,0)</f>
        <v>1645.81</v>
      </c>
      <c r="I29">
        <f>IFERROR('Data Sheet'!H29,0)</f>
        <v>2108.7600000000002</v>
      </c>
      <c r="J29">
        <f>IFERROR('Data Sheet'!I29,0)</f>
        <v>2685.75</v>
      </c>
      <c r="K29">
        <f>IFERROR('Data Sheet'!J29,0)</f>
        <v>3707.97</v>
      </c>
      <c r="L29">
        <f>IFERROR('Data Sheet'!K29,0)</f>
        <v>5006.45</v>
      </c>
    </row>
    <row r="30" spans="2:12" x14ac:dyDescent="0.25">
      <c r="B30" s="9" t="s">
        <v>68</v>
      </c>
      <c r="C30" s="28">
        <f>IFERROR(C29/C26,0)</f>
        <v>0.37332842033628161</v>
      </c>
      <c r="D30" s="28">
        <f t="shared" ref="D30:L30" si="11">IFERROR(D29/D26,0)</f>
        <v>0.36214737664284558</v>
      </c>
      <c r="E30" s="28">
        <f t="shared" si="11"/>
        <v>0.22930854814091714</v>
      </c>
      <c r="F30" s="28">
        <f t="shared" si="11"/>
        <v>0.32172714196175389</v>
      </c>
      <c r="G30" s="28">
        <f t="shared" si="11"/>
        <v>1.1940034207456816</v>
      </c>
      <c r="H30" s="28">
        <f t="shared" si="11"/>
        <v>0.52112279146349116</v>
      </c>
      <c r="I30" s="28">
        <f t="shared" si="11"/>
        <v>0.2252522760119075</v>
      </c>
      <c r="J30" s="28">
        <f t="shared" si="11"/>
        <v>0.19101750113618318</v>
      </c>
      <c r="K30" s="28">
        <f t="shared" si="11"/>
        <v>0.23207026754012924</v>
      </c>
      <c r="L30" s="28">
        <f t="shared" si="11"/>
        <v>0.26239778360365662</v>
      </c>
    </row>
    <row r="32" spans="2:12" x14ac:dyDescent="0.25">
      <c r="B32" t="s">
        <v>69</v>
      </c>
      <c r="C32">
        <f>IFERROR('Data Sheet'!B30,0)</f>
        <v>3148.43</v>
      </c>
      <c r="D32">
        <f>IFERROR('Data Sheet'!C30,0)</f>
        <v>3698.04</v>
      </c>
      <c r="E32">
        <f>IFERROR('Data Sheet'!D30,0)</f>
        <v>7510.39</v>
      </c>
      <c r="F32">
        <f>IFERROR('Data Sheet'!E30,0)</f>
        <v>5315.46</v>
      </c>
      <c r="G32">
        <f>IFERROR('Data Sheet'!F30,0)</f>
        <v>127.04</v>
      </c>
      <c r="H32">
        <f>IFERROR('Data Sheet'!G30,0)</f>
        <v>1812.49</v>
      </c>
      <c r="I32">
        <f>IFERROR('Data Sheet'!H30,0)</f>
        <v>6577.32</v>
      </c>
      <c r="J32">
        <f>IFERROR('Data Sheet'!I30,0)</f>
        <v>10281.5</v>
      </c>
      <c r="K32">
        <f>IFERROR('Data Sheet'!J30,0)</f>
        <v>11268.64</v>
      </c>
      <c r="L32">
        <f>IFERROR('Data Sheet'!K30,0)</f>
        <v>12929.1</v>
      </c>
    </row>
    <row r="33" spans="1:12" x14ac:dyDescent="0.25">
      <c r="B33" s="9" t="s">
        <v>70</v>
      </c>
      <c r="C33" s="28">
        <f>IFERROR(C32/C5,0)</f>
        <v>4.1513331369586695E-2</v>
      </c>
      <c r="D33" s="28">
        <f t="shared" ref="D33:L33" si="12">IFERROR(D32/D5,0)</f>
        <v>4.4143552132815983E-2</v>
      </c>
      <c r="E33" s="28">
        <f t="shared" si="12"/>
        <v>8.1551393984078221E-2</v>
      </c>
      <c r="F33" s="28">
        <f t="shared" si="12"/>
        <v>5.0758455731952853E-2</v>
      </c>
      <c r="G33" s="28">
        <f t="shared" si="12"/>
        <v>1.6852845237578823E-3</v>
      </c>
      <c r="H33" s="28">
        <f t="shared" si="12"/>
        <v>2.4401510115138067E-2</v>
      </c>
      <c r="I33" s="28">
        <f t="shared" si="12"/>
        <v>7.2943089968267913E-2</v>
      </c>
      <c r="J33" s="28">
        <f t="shared" si="12"/>
        <v>8.4782905378187501E-2</v>
      </c>
      <c r="K33" s="28">
        <f t="shared" si="12"/>
        <v>8.1023728581035709E-2</v>
      </c>
      <c r="L33" s="28">
        <f t="shared" si="12"/>
        <v>8.1207420450444254E-2</v>
      </c>
    </row>
    <row r="35" spans="1:12" x14ac:dyDescent="0.25">
      <c r="B35" t="s">
        <v>71</v>
      </c>
      <c r="C35">
        <f>IFERROR('Data Sheet'!B93,0)</f>
        <v>124.22</v>
      </c>
      <c r="D35">
        <f>IFERROR('Data Sheet'!C93,0)</f>
        <v>124.22</v>
      </c>
      <c r="E35">
        <f>IFERROR('Data Sheet'!D93,0)</f>
        <v>124.32</v>
      </c>
      <c r="F35">
        <f>IFERROR('Data Sheet'!E93,0)</f>
        <v>124.32</v>
      </c>
      <c r="G35">
        <f>IFERROR('Data Sheet'!F93,0)</f>
        <v>124.32</v>
      </c>
      <c r="H35">
        <f>IFERROR('Data Sheet'!G93,0)</f>
        <v>124.32</v>
      </c>
      <c r="I35">
        <f>IFERROR('Data Sheet'!H93,0)</f>
        <v>124.32</v>
      </c>
      <c r="J35">
        <f>IFERROR('Data Sheet'!I93,0)</f>
        <v>124.35</v>
      </c>
      <c r="K35">
        <f>IFERROR('Data Sheet'!J93,0)</f>
        <v>124.35</v>
      </c>
      <c r="L35">
        <f>IFERROR('Data Sheet'!K93,0)</f>
        <v>124.35</v>
      </c>
    </row>
    <row r="37" spans="1:12" x14ac:dyDescent="0.25">
      <c r="B37" t="s">
        <v>72</v>
      </c>
      <c r="C37">
        <f>IFERROR(C32/C35,0)</f>
        <v>25.345596522299147</v>
      </c>
      <c r="D37">
        <f t="shared" ref="D37:L37" si="13">IFERROR(D32/D35,0)</f>
        <v>29.770085332474643</v>
      </c>
      <c r="E37">
        <f t="shared" si="13"/>
        <v>60.411759974259979</v>
      </c>
      <c r="F37">
        <f t="shared" si="13"/>
        <v>42.756274131274132</v>
      </c>
      <c r="G37">
        <f t="shared" si="13"/>
        <v>1.0218790218790219</v>
      </c>
      <c r="H37">
        <f t="shared" si="13"/>
        <v>14.579231016731018</v>
      </c>
      <c r="I37">
        <f t="shared" si="13"/>
        <v>52.906370656370655</v>
      </c>
      <c r="J37">
        <f t="shared" si="13"/>
        <v>82.681946119823081</v>
      </c>
      <c r="K37">
        <f t="shared" si="13"/>
        <v>90.620345798150382</v>
      </c>
      <c r="L37">
        <f t="shared" si="13"/>
        <v>103.97346200241255</v>
      </c>
    </row>
    <row r="38" spans="1:12" x14ac:dyDescent="0.25">
      <c r="B38" s="9" t="s">
        <v>73</v>
      </c>
      <c r="C38" s="29" t="s">
        <v>79</v>
      </c>
      <c r="D38" s="28">
        <f>IFERROR(D37/C37-1,0)</f>
        <v>0.1745663711754748</v>
      </c>
      <c r="E38" s="28">
        <f t="shared" ref="E38:L38" si="14">IFERROR(E37/D37-1,0)</f>
        <v>1.0292773534095288</v>
      </c>
      <c r="F38" s="28">
        <f t="shared" si="14"/>
        <v>-0.29225246625008827</v>
      </c>
      <c r="G38" s="28">
        <f t="shared" si="14"/>
        <v>-0.97609990480598108</v>
      </c>
      <c r="H38" s="28">
        <f t="shared" si="14"/>
        <v>13.267081234256928</v>
      </c>
      <c r="I38" s="28">
        <f t="shared" si="14"/>
        <v>2.6288862283378109</v>
      </c>
      <c r="J38" s="28">
        <f t="shared" si="14"/>
        <v>0.56279754392615922</v>
      </c>
      <c r="K38" s="28">
        <f t="shared" si="14"/>
        <v>9.6011282400428E-2</v>
      </c>
      <c r="L38" s="28">
        <f t="shared" si="14"/>
        <v>0.14735229805903827</v>
      </c>
    </row>
    <row r="40" spans="1:12" x14ac:dyDescent="0.25">
      <c r="B40" t="s">
        <v>74</v>
      </c>
      <c r="C40">
        <f>IFERROR('Data Sheet'!B31/'FS Analysis'!C35,0)</f>
        <v>5.2242795041056196</v>
      </c>
      <c r="D40">
        <f>IFERROR('Data Sheet'!C31/'FS Analysis'!D35,0)</f>
        <v>6.5</v>
      </c>
      <c r="E40">
        <f>IFERROR('Data Sheet'!D31/'FS Analysis'!E35,0)</f>
        <v>6.5532496782496787</v>
      </c>
      <c r="F40">
        <f>IFERROR('Data Sheet'!E31/'FS Analysis'!F35,0)</f>
        <v>7.4383043758043765</v>
      </c>
      <c r="G40">
        <f>IFERROR('Data Sheet'!F31/'FS Analysis'!G35,0)</f>
        <v>2.0954794079794081</v>
      </c>
      <c r="H40">
        <f>IFERROR('Data Sheet'!G31/'FS Analysis'!H35,0)</f>
        <v>7.8145913770913777</v>
      </c>
      <c r="I40">
        <f>IFERROR('Data Sheet'!H31/'FS Analysis'!I35,0)</f>
        <v>10.332207207207208</v>
      </c>
      <c r="J40">
        <f>IFERROR('Data Sheet'!I31/'FS Analysis'!J35,0)</f>
        <v>14.55295536791315</v>
      </c>
      <c r="K40">
        <f>IFERROR('Data Sheet'!J31/'FS Analysis'!K35,0)</f>
        <v>18.915480498592682</v>
      </c>
      <c r="L40">
        <f>IFERROR('Data Sheet'!K31/'FS Analysis'!L35,0)</f>
        <v>22.712022517088862</v>
      </c>
    </row>
    <row r="41" spans="1:12" x14ac:dyDescent="0.25">
      <c r="B41" s="9" t="s">
        <v>75</v>
      </c>
      <c r="C41" s="28">
        <f>IFERROR(C40/C37,0)</f>
        <v>0.20612178133228309</v>
      </c>
      <c r="D41" s="28">
        <f t="shared" ref="D41:L41" si="15">IFERROR(D40/D37,0)</f>
        <v>0.2183399855058355</v>
      </c>
      <c r="E41" s="28">
        <f t="shared" si="15"/>
        <v>0.10847639070674092</v>
      </c>
      <c r="F41" s="28">
        <f t="shared" si="15"/>
        <v>0.17396989159922191</v>
      </c>
      <c r="G41" s="28">
        <f t="shared" si="15"/>
        <v>2.0506139798488667</v>
      </c>
      <c r="H41" s="28">
        <f t="shared" si="15"/>
        <v>0.53600847452951461</v>
      </c>
      <c r="I41" s="28">
        <f t="shared" si="15"/>
        <v>0.1952923075051845</v>
      </c>
      <c r="J41" s="28">
        <f t="shared" si="15"/>
        <v>0.17601128240042796</v>
      </c>
      <c r="K41" s="28">
        <f t="shared" si="15"/>
        <v>0.2087332632864303</v>
      </c>
      <c r="L41" s="28">
        <f t="shared" si="15"/>
        <v>0.21844057204291095</v>
      </c>
    </row>
    <row r="43" spans="1:12" x14ac:dyDescent="0.25">
      <c r="B43" t="s">
        <v>76</v>
      </c>
      <c r="C43" s="28">
        <f>IFERROR(IF(C37&gt;C40,1-C41,0),0)</f>
        <v>0.79387821866771691</v>
      </c>
      <c r="D43" s="28">
        <f t="shared" ref="D43:L43" si="16">IFERROR(IF(D37&gt;D40,1-D41,0),0)</f>
        <v>0.78166001449416456</v>
      </c>
      <c r="E43" s="28">
        <f t="shared" si="16"/>
        <v>0.89152360929325902</v>
      </c>
      <c r="F43" s="28">
        <f t="shared" si="16"/>
        <v>0.82603010840077806</v>
      </c>
      <c r="G43" s="28">
        <f t="shared" si="16"/>
        <v>0</v>
      </c>
      <c r="H43" s="28">
        <f t="shared" si="16"/>
        <v>0.46399152547048539</v>
      </c>
      <c r="I43" s="28">
        <f t="shared" si="16"/>
        <v>0.80470769249481555</v>
      </c>
      <c r="J43" s="28">
        <f t="shared" si="16"/>
        <v>0.82398871759957204</v>
      </c>
      <c r="K43" s="28">
        <f t="shared" si="16"/>
        <v>0.79126673671356973</v>
      </c>
      <c r="L43" s="28">
        <f t="shared" si="16"/>
        <v>0.78155942795708899</v>
      </c>
    </row>
    <row r="45" spans="1:12" x14ac:dyDescent="0.25">
      <c r="A45" t="s">
        <v>77</v>
      </c>
      <c r="B45" s="8" t="s">
        <v>80</v>
      </c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5">
      <c r="B46" t="str">
        <f>IFERROR('Data Sheet'!A57,0)</f>
        <v>Equity Share Capital</v>
      </c>
      <c r="C46">
        <f>IFERROR('Data Sheet'!B57,0)</f>
        <v>270.39999999999998</v>
      </c>
      <c r="D46">
        <f>IFERROR('Data Sheet'!C57,0)</f>
        <v>310.55</v>
      </c>
      <c r="E46">
        <f>IFERROR('Data Sheet'!D57,0)</f>
        <v>543.13</v>
      </c>
      <c r="F46">
        <f>IFERROR('Data Sheet'!E57,0)</f>
        <v>543.96</v>
      </c>
      <c r="G46">
        <f>IFERROR('Data Sheet'!F57,0)</f>
        <v>554.28</v>
      </c>
      <c r="H46">
        <f>IFERROR('Data Sheet'!G57,0)</f>
        <v>555.15</v>
      </c>
      <c r="I46">
        <f>IFERROR('Data Sheet'!H57,0)</f>
        <v>556.05999999999995</v>
      </c>
      <c r="J46">
        <f>IFERROR('Data Sheet'!I57,0)</f>
        <v>556.82000000000005</v>
      </c>
      <c r="K46">
        <f>IFERROR('Data Sheet'!J57,0)</f>
        <v>557.38</v>
      </c>
      <c r="L46">
        <f>IFERROR('Data Sheet'!K57,0)</f>
        <v>558.15</v>
      </c>
    </row>
    <row r="47" spans="1:12" x14ac:dyDescent="0.25">
      <c r="B47" t="str">
        <f>IFERROR('Data Sheet'!A58,0)</f>
        <v>Reserves</v>
      </c>
      <c r="C47">
        <f>IFERROR('Data Sheet'!B58,0)</f>
        <v>26222.25</v>
      </c>
      <c r="D47">
        <f>IFERROR('Data Sheet'!C58,0)</f>
        <v>29467.1</v>
      </c>
      <c r="E47">
        <f>IFERROR('Data Sheet'!D58,0)</f>
        <v>36232.06</v>
      </c>
      <c r="F47">
        <f>IFERROR('Data Sheet'!E58,0)</f>
        <v>39439.449999999997</v>
      </c>
      <c r="G47">
        <f>IFERROR('Data Sheet'!F58,0)</f>
        <v>39415.03</v>
      </c>
      <c r="H47">
        <f>IFERROR('Data Sheet'!G58,0)</f>
        <v>41026.769999999997</v>
      </c>
      <c r="I47">
        <f>IFERROR('Data Sheet'!H58,0)</f>
        <v>46566.58</v>
      </c>
      <c r="J47">
        <f>IFERROR('Data Sheet'!I58,0)</f>
        <v>55808.97</v>
      </c>
      <c r="K47">
        <f>IFERROR('Data Sheet'!J58,0)</f>
        <v>65633.17</v>
      </c>
      <c r="L47">
        <f>IFERROR('Data Sheet'!K58,0)</f>
        <v>76480.710000000006</v>
      </c>
    </row>
    <row r="48" spans="1:12" x14ac:dyDescent="0.25">
      <c r="B48" t="str">
        <f>IFERROR('Data Sheet'!A59,0)</f>
        <v>Borrowings</v>
      </c>
      <c r="C48">
        <f>IFERROR('Data Sheet'!B59,0)</f>
        <v>41552.93</v>
      </c>
      <c r="D48">
        <f>IFERROR('Data Sheet'!C59,0)</f>
        <v>48761.91</v>
      </c>
      <c r="E48">
        <f>IFERROR('Data Sheet'!D59,0)</f>
        <v>55897.919999999998</v>
      </c>
      <c r="F48">
        <f>IFERROR('Data Sheet'!E59,0)</f>
        <v>70848.3</v>
      </c>
      <c r="G48">
        <f>IFERROR('Data Sheet'!F59,0)</f>
        <v>82092.28</v>
      </c>
      <c r="H48">
        <f>IFERROR('Data Sheet'!G59,0)</f>
        <v>80624.83</v>
      </c>
      <c r="I48">
        <f>IFERROR('Data Sheet'!H59,0)</f>
        <v>77605.210000000006</v>
      </c>
      <c r="J48">
        <f>IFERROR('Data Sheet'!I59,0)</f>
        <v>92246.85</v>
      </c>
      <c r="K48">
        <f>IFERROR('Data Sheet'!J59,0)</f>
        <v>108647.25</v>
      </c>
      <c r="L48">
        <f>IFERROR('Data Sheet'!K59,0)</f>
        <v>124949.31</v>
      </c>
    </row>
    <row r="49" spans="2:12" x14ac:dyDescent="0.25">
      <c r="B49" t="str">
        <f>IFERROR('Data Sheet'!A60,0)</f>
        <v>Other Liabilities</v>
      </c>
      <c r="C49">
        <f>IFERROR('Data Sheet'!B60,0)</f>
        <v>31806.240000000002</v>
      </c>
      <c r="D49">
        <f>IFERROR('Data Sheet'!C60,0)</f>
        <v>35295.919999999998</v>
      </c>
      <c r="E49">
        <f>IFERROR('Data Sheet'!D60,0)</f>
        <v>43696.2</v>
      </c>
      <c r="F49">
        <f>IFERROR('Data Sheet'!E60,0)</f>
        <v>51056.95</v>
      </c>
      <c r="G49">
        <f>IFERROR('Data Sheet'!F60,0)</f>
        <v>43654.54</v>
      </c>
      <c r="H49">
        <f>IFERROR('Data Sheet'!G60,0)</f>
        <v>42761.58</v>
      </c>
      <c r="I49">
        <f>IFERROR('Data Sheet'!H60,0)</f>
        <v>47660.639999999999</v>
      </c>
      <c r="J49">
        <f>IFERROR('Data Sheet'!I60,0)</f>
        <v>55670.49</v>
      </c>
      <c r="K49">
        <f>IFERROR('Data Sheet'!J60,0)</f>
        <v>59883.94</v>
      </c>
      <c r="L49">
        <f>IFERROR('Data Sheet'!K60,0)</f>
        <v>75598.100000000006</v>
      </c>
    </row>
    <row r="50" spans="2:12" x14ac:dyDescent="0.25">
      <c r="B50" s="10" t="s">
        <v>81</v>
      </c>
      <c r="C50" s="11">
        <f>IFERROR('Data Sheet'!B61,0)</f>
        <v>99851.82</v>
      </c>
      <c r="D50" s="11">
        <f>IFERROR('Data Sheet'!C61,0)</f>
        <v>113835.48</v>
      </c>
      <c r="E50" s="11">
        <f>IFERROR('Data Sheet'!D61,0)</f>
        <v>136369.31</v>
      </c>
      <c r="F50" s="11">
        <f>IFERROR('Data Sheet'!E61,0)</f>
        <v>161888.66</v>
      </c>
      <c r="G50" s="11">
        <f>IFERROR('Data Sheet'!F61,0)</f>
        <v>165716.13</v>
      </c>
      <c r="H50" s="11">
        <f>IFERROR('Data Sheet'!G61,0)</f>
        <v>164968.32999999999</v>
      </c>
      <c r="I50" s="11">
        <f>IFERROR('Data Sheet'!H61,0)</f>
        <v>172388.49</v>
      </c>
      <c r="J50" s="11">
        <f>IFERROR('Data Sheet'!I61,0)</f>
        <v>204283.13</v>
      </c>
      <c r="K50" s="11">
        <f>IFERROR('Data Sheet'!J61,0)</f>
        <v>234721.74</v>
      </c>
      <c r="L50" s="11">
        <f>IFERROR('Data Sheet'!K61,0)</f>
        <v>277586.27</v>
      </c>
    </row>
    <row r="51" spans="2:12" x14ac:dyDescent="0.25">
      <c r="B51" s="10"/>
    </row>
    <row r="52" spans="2:12" x14ac:dyDescent="0.25">
      <c r="B52" t="str">
        <f>IFERROR('Data Sheet'!A62,0)</f>
        <v>Net Block</v>
      </c>
      <c r="C52">
        <f>IFERROR('Data Sheet'!B62,0)</f>
        <v>20584.71</v>
      </c>
      <c r="D52">
        <f>IFERROR('Data Sheet'!C62,0)</f>
        <v>20989.01</v>
      </c>
      <c r="E52">
        <f>IFERROR('Data Sheet'!D62,0)</f>
        <v>26181.9</v>
      </c>
      <c r="F52">
        <f>IFERROR('Data Sheet'!E62,0)</f>
        <v>28982.74</v>
      </c>
      <c r="G52">
        <f>IFERROR('Data Sheet'!F62,0)</f>
        <v>29689.27</v>
      </c>
      <c r="H52">
        <f>IFERROR('Data Sheet'!G62,0)</f>
        <v>21379.68</v>
      </c>
      <c r="I52">
        <f>IFERROR('Data Sheet'!H62,0)</f>
        <v>26018.49</v>
      </c>
      <c r="J52">
        <f>IFERROR('Data Sheet'!I62,0)</f>
        <v>27139.98</v>
      </c>
      <c r="K52">
        <f>IFERROR('Data Sheet'!J62,0)</f>
        <v>28129.41</v>
      </c>
      <c r="L52">
        <f>IFERROR('Data Sheet'!K62,0)</f>
        <v>39281.440000000002</v>
      </c>
    </row>
    <row r="53" spans="2:12" x14ac:dyDescent="0.25">
      <c r="B53" t="str">
        <f>IFERROR('Data Sheet'!A63,0)</f>
        <v>Capital Work in Progress</v>
      </c>
      <c r="C53">
        <f>IFERROR('Data Sheet'!B63,0)</f>
        <v>2371.35</v>
      </c>
      <c r="D53">
        <f>IFERROR('Data Sheet'!C63,0)</f>
        <v>4278.9399999999996</v>
      </c>
      <c r="E53">
        <f>IFERROR('Data Sheet'!D63,0)</f>
        <v>4269.47</v>
      </c>
      <c r="F53">
        <f>IFERROR('Data Sheet'!E63,0)</f>
        <v>4759.84</v>
      </c>
      <c r="G53">
        <f>IFERROR('Data Sheet'!F63,0)</f>
        <v>6856.48</v>
      </c>
      <c r="H53">
        <f>IFERROR('Data Sheet'!G63,0)</f>
        <v>7872.61</v>
      </c>
      <c r="I53">
        <f>IFERROR('Data Sheet'!H63,0)</f>
        <v>6702.81</v>
      </c>
      <c r="J53">
        <f>IFERROR('Data Sheet'!I63,0)</f>
        <v>3968.58</v>
      </c>
      <c r="K53">
        <f>IFERROR('Data Sheet'!J63,0)</f>
        <v>8039.3</v>
      </c>
      <c r="L53">
        <f>IFERROR('Data Sheet'!K63,0)</f>
        <v>3652.56</v>
      </c>
    </row>
    <row r="54" spans="2:12" x14ac:dyDescent="0.25">
      <c r="B54" t="str">
        <f>IFERROR('Data Sheet'!A64,0)</f>
        <v>Investments</v>
      </c>
      <c r="C54">
        <f>IFERROR('Data Sheet'!B64,0)</f>
        <v>11602.58</v>
      </c>
      <c r="D54">
        <f>IFERROR('Data Sheet'!C64,0)</f>
        <v>14662.44</v>
      </c>
      <c r="E54">
        <f>IFERROR('Data Sheet'!D64,0)</f>
        <v>16017.61</v>
      </c>
      <c r="F54">
        <f>IFERROR('Data Sheet'!E64,0)</f>
        <v>18268.099999999999</v>
      </c>
      <c r="G54">
        <f>IFERROR('Data Sheet'!F64,0)</f>
        <v>19210.34</v>
      </c>
      <c r="H54">
        <f>IFERROR('Data Sheet'!G64,0)</f>
        <v>28777.66</v>
      </c>
      <c r="I54">
        <f>IFERROR('Data Sheet'!H64,0)</f>
        <v>30060.43</v>
      </c>
      <c r="J54">
        <f>IFERROR('Data Sheet'!I64,0)</f>
        <v>35272.42</v>
      </c>
      <c r="K54">
        <f>IFERROR('Data Sheet'!J64,0)</f>
        <v>35208.1</v>
      </c>
      <c r="L54">
        <f>IFERROR('Data Sheet'!K64,0)</f>
        <v>41308.57</v>
      </c>
    </row>
    <row r="55" spans="2:12" x14ac:dyDescent="0.25">
      <c r="B55" t="str">
        <f>IFERROR('Data Sheet'!A65,0)</f>
        <v>Other Assets</v>
      </c>
      <c r="C55">
        <f>IFERROR('Data Sheet'!B65-SUM('Data Sheet'!B67:B69),0)</f>
        <v>45831.91</v>
      </c>
      <c r="D55">
        <f>IFERROR('Data Sheet'!C65-SUM('Data Sheet'!C67:C69),0)</f>
        <v>53165.789999999994</v>
      </c>
      <c r="E55">
        <f>IFERROR('Data Sheet'!D65-SUM('Data Sheet'!D67:D69),0)</f>
        <v>65527.340000000004</v>
      </c>
      <c r="F55">
        <f>IFERROR('Data Sheet'!E65-SUM('Data Sheet'!E67:E69),0)</f>
        <v>80265.01999999999</v>
      </c>
      <c r="G55">
        <f>IFERROR('Data Sheet'!F65-SUM('Data Sheet'!F67:F69),0)</f>
        <v>84009</v>
      </c>
      <c r="H55">
        <f>IFERROR('Data Sheet'!G65-SUM('Data Sheet'!G67:G69),0)</f>
        <v>78463.22</v>
      </c>
      <c r="I55">
        <f>IFERROR('Data Sheet'!H65-SUM('Data Sheet'!H67:H69),0)</f>
        <v>80519.37999999999</v>
      </c>
      <c r="J55">
        <f>IFERROR('Data Sheet'!I65-SUM('Data Sheet'!I67:I69),0)</f>
        <v>102745.73</v>
      </c>
      <c r="K55">
        <f>IFERROR('Data Sheet'!J65-SUM('Data Sheet'!J67:J69),0)</f>
        <v>125282.31</v>
      </c>
      <c r="L55">
        <f>IFERROR('Data Sheet'!K65-SUM('Data Sheet'!K67:K69),0)</f>
        <v>144118.23000000001</v>
      </c>
    </row>
    <row r="56" spans="2:12" x14ac:dyDescent="0.25">
      <c r="B56" s="11" t="s">
        <v>82</v>
      </c>
      <c r="C56" s="11">
        <f>IFERROR(SUM(C52:C55),0)</f>
        <v>80390.55</v>
      </c>
      <c r="D56" s="11">
        <f t="shared" ref="D56:L56" si="17">IFERROR(SUM(D52:D55),0)</f>
        <v>93096.18</v>
      </c>
      <c r="E56" s="11">
        <f t="shared" si="17"/>
        <v>111996.32</v>
      </c>
      <c r="F56" s="11">
        <f t="shared" si="17"/>
        <v>132275.69999999998</v>
      </c>
      <c r="G56" s="11">
        <f t="shared" si="17"/>
        <v>139765.09</v>
      </c>
      <c r="H56" s="11">
        <f t="shared" si="17"/>
        <v>136493.16999999998</v>
      </c>
      <c r="I56" s="11">
        <f t="shared" si="17"/>
        <v>143301.10999999999</v>
      </c>
      <c r="J56" s="11">
        <f t="shared" si="17"/>
        <v>169126.71</v>
      </c>
      <c r="K56" s="11">
        <f t="shared" si="17"/>
        <v>196659.12</v>
      </c>
      <c r="L56" s="11">
        <f t="shared" si="17"/>
        <v>228360.80000000002</v>
      </c>
    </row>
    <row r="58" spans="2:12" x14ac:dyDescent="0.25">
      <c r="B58" t="str">
        <f>IFERROR('Data Sheet'!A67,0)</f>
        <v>Receivables</v>
      </c>
      <c r="C58">
        <f>IFERROR('Data Sheet'!B67,0)</f>
        <v>5817.6</v>
      </c>
      <c r="D58">
        <f>IFERROR('Data Sheet'!C67,0)</f>
        <v>7199.26</v>
      </c>
      <c r="E58">
        <f>IFERROR('Data Sheet'!D67,0)</f>
        <v>8489.82</v>
      </c>
      <c r="F58">
        <f>IFERROR('Data Sheet'!E67,0)</f>
        <v>8677.89</v>
      </c>
      <c r="G58">
        <f>IFERROR('Data Sheet'!F67,0)</f>
        <v>6928.28</v>
      </c>
      <c r="H58">
        <f>IFERROR('Data Sheet'!G67,0)</f>
        <v>6007.76</v>
      </c>
      <c r="I58">
        <f>IFERROR('Data Sheet'!H67,0)</f>
        <v>6373.95</v>
      </c>
      <c r="J58">
        <f>IFERROR('Data Sheet'!I67,0)</f>
        <v>7028.02</v>
      </c>
      <c r="K58">
        <f>IFERROR('Data Sheet'!J67,0)</f>
        <v>7459.4</v>
      </c>
      <c r="L58">
        <f>IFERROR('Data Sheet'!K67,0)</f>
        <v>8279.7000000000007</v>
      </c>
    </row>
    <row r="59" spans="2:12" x14ac:dyDescent="0.25">
      <c r="B59" t="str">
        <f>IFERROR('Data Sheet'!A68,0)</f>
        <v>Inventory</v>
      </c>
      <c r="C59">
        <f>IFERROR('Data Sheet'!B68,0)</f>
        <v>9116.1200000000008</v>
      </c>
      <c r="D59">
        <f>IFERROR('Data Sheet'!C68,0)</f>
        <v>8886.01</v>
      </c>
      <c r="E59">
        <f>IFERROR('Data Sheet'!D68,0)</f>
        <v>9335.57</v>
      </c>
      <c r="F59">
        <f>IFERROR('Data Sheet'!E68,0)</f>
        <v>12200.16</v>
      </c>
      <c r="G59">
        <f>IFERROR('Data Sheet'!F68,0)</f>
        <v>11111.86</v>
      </c>
      <c r="H59">
        <f>IFERROR('Data Sheet'!G68,0)</f>
        <v>9615.41</v>
      </c>
      <c r="I59">
        <f>IFERROR('Data Sheet'!H68,0)</f>
        <v>11595.82</v>
      </c>
      <c r="J59">
        <f>IFERROR('Data Sheet'!I68,0)</f>
        <v>16854.97</v>
      </c>
      <c r="K59">
        <f>IFERROR('Data Sheet'!J68,0)</f>
        <v>18590.47</v>
      </c>
      <c r="L59">
        <f>IFERROR('Data Sheet'!K68,0)</f>
        <v>20330.93</v>
      </c>
    </row>
    <row r="60" spans="2:12" x14ac:dyDescent="0.25">
      <c r="B60" t="str">
        <f>IFERROR('Data Sheet'!A69,0)</f>
        <v>Cash &amp; Bank</v>
      </c>
      <c r="C60">
        <f>IFERROR('Data Sheet'!B69,0)</f>
        <v>4527.55</v>
      </c>
      <c r="D60">
        <f>IFERROR('Data Sheet'!C69,0)</f>
        <v>4654.03</v>
      </c>
      <c r="E60">
        <f>IFERROR('Data Sheet'!D69,0)</f>
        <v>6547.6</v>
      </c>
      <c r="F60">
        <f>IFERROR('Data Sheet'!E69,0)</f>
        <v>8734.91</v>
      </c>
      <c r="G60">
        <f>IFERROR('Data Sheet'!F69,0)</f>
        <v>7910.9</v>
      </c>
      <c r="H60">
        <f>IFERROR('Data Sheet'!G69,0)</f>
        <v>12851.99</v>
      </c>
      <c r="I60">
        <f>IFERROR('Data Sheet'!H69,0)</f>
        <v>11117.61</v>
      </c>
      <c r="J60">
        <f>IFERROR('Data Sheet'!I69,0)</f>
        <v>11273.43</v>
      </c>
      <c r="K60">
        <f>IFERROR('Data Sheet'!J69,0)</f>
        <v>12012.75</v>
      </c>
      <c r="L60">
        <f>IFERROR('Data Sheet'!K69,0)</f>
        <v>20614.84</v>
      </c>
    </row>
    <row r="61" spans="2:12" x14ac:dyDescent="0.25">
      <c r="B61" s="11" t="s">
        <v>83</v>
      </c>
      <c r="C61" s="11">
        <f>IFERROR(SUM(C58:C60),0)</f>
        <v>19461.27</v>
      </c>
      <c r="D61" s="11">
        <f t="shared" ref="D61:L61" si="18">IFERROR(SUM(D58:D60),0)</f>
        <v>20739.3</v>
      </c>
      <c r="E61" s="11">
        <f t="shared" si="18"/>
        <v>24372.989999999998</v>
      </c>
      <c r="F61" s="11">
        <f t="shared" si="18"/>
        <v>29612.959999999999</v>
      </c>
      <c r="G61" s="11">
        <f t="shared" si="18"/>
        <v>25951.040000000001</v>
      </c>
      <c r="H61" s="11">
        <f t="shared" si="18"/>
        <v>28475.16</v>
      </c>
      <c r="I61" s="11">
        <f t="shared" si="18"/>
        <v>29087.38</v>
      </c>
      <c r="J61" s="11">
        <f t="shared" si="18"/>
        <v>35156.42</v>
      </c>
      <c r="K61" s="11">
        <f t="shared" si="18"/>
        <v>38062.620000000003</v>
      </c>
      <c r="L61" s="11">
        <f t="shared" si="18"/>
        <v>49225.47</v>
      </c>
    </row>
    <row r="63" spans="2:12" x14ac:dyDescent="0.25">
      <c r="B63" s="11" t="s">
        <v>84</v>
      </c>
      <c r="C63" s="11">
        <f>IFERROR(SUM(C56,C61),0)</f>
        <v>99851.82</v>
      </c>
      <c r="D63" s="11">
        <f t="shared" ref="D63:L63" si="19">IFERROR(SUM(D56,D61),0)</f>
        <v>113835.48</v>
      </c>
      <c r="E63" s="11">
        <f t="shared" si="19"/>
        <v>136369.31</v>
      </c>
      <c r="F63" s="11">
        <f t="shared" si="19"/>
        <v>161888.65999999997</v>
      </c>
      <c r="G63" s="11">
        <f t="shared" si="19"/>
        <v>165716.13</v>
      </c>
      <c r="H63" s="11">
        <f t="shared" si="19"/>
        <v>164968.32999999999</v>
      </c>
      <c r="I63" s="11">
        <f t="shared" si="19"/>
        <v>172388.49</v>
      </c>
      <c r="J63" s="11">
        <f t="shared" si="19"/>
        <v>204283.13</v>
      </c>
      <c r="K63" s="11">
        <f t="shared" si="19"/>
        <v>234721.74</v>
      </c>
      <c r="L63" s="11">
        <f t="shared" si="19"/>
        <v>277586.27</v>
      </c>
    </row>
    <row r="65" spans="1:12" x14ac:dyDescent="0.25">
      <c r="B65" t="s">
        <v>85</v>
      </c>
      <c r="C65" t="b">
        <f>IFERROR(IF(C50=C63,TRUE,FALSE),0)</f>
        <v>1</v>
      </c>
      <c r="D65" t="b">
        <f t="shared" ref="D65:L65" si="20">IFERROR(IF(D50=D63,TRUE,FALSE),0)</f>
        <v>1</v>
      </c>
      <c r="E65" t="b">
        <f t="shared" si="20"/>
        <v>1</v>
      </c>
      <c r="F65" t="b">
        <f t="shared" si="20"/>
        <v>1</v>
      </c>
      <c r="G65" t="b">
        <f t="shared" si="20"/>
        <v>1</v>
      </c>
      <c r="H65" t="b">
        <f t="shared" si="20"/>
        <v>1</v>
      </c>
      <c r="I65" t="b">
        <f t="shared" si="20"/>
        <v>1</v>
      </c>
      <c r="J65" t="b">
        <f t="shared" si="20"/>
        <v>1</v>
      </c>
      <c r="K65" t="b">
        <f t="shared" si="20"/>
        <v>1</v>
      </c>
      <c r="L65" t="b">
        <f t="shared" si="20"/>
        <v>1</v>
      </c>
    </row>
    <row r="67" spans="1:12" x14ac:dyDescent="0.25">
      <c r="A67" t="s">
        <v>77</v>
      </c>
      <c r="B67" s="8" t="s">
        <v>86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25">
      <c r="B68" s="11" t="s">
        <v>115</v>
      </c>
    </row>
    <row r="69" spans="1:12" x14ac:dyDescent="0.25">
      <c r="B69" s="11" t="str">
        <f>IFERROR('Cash Flow Data'!A3,0)</f>
        <v>Profit from operations</v>
      </c>
      <c r="C69" s="11">
        <f>IFERROR('Cash Flow Data'!B3,0)</f>
        <v>7595</v>
      </c>
      <c r="D69" s="11">
        <f>IFERROR('Cash Flow Data'!C3,0)</f>
        <v>7911</v>
      </c>
      <c r="E69" s="11">
        <f>IFERROR('Cash Flow Data'!D3,0)</f>
        <v>10159</v>
      </c>
      <c r="F69" s="11">
        <f>IFERROR('Cash Flow Data'!E3,0)</f>
        <v>11112</v>
      </c>
      <c r="G69" s="11">
        <f>IFERROR('Cash Flow Data'!F3,0)</f>
        <v>7774</v>
      </c>
      <c r="H69" s="11">
        <f>IFERROR('Cash Flow Data'!G3,0)</f>
        <v>7588</v>
      </c>
      <c r="I69" s="11">
        <f>IFERROR('Cash Flow Data'!H3,0)</f>
        <v>10515</v>
      </c>
      <c r="J69" s="11">
        <f>IFERROR('Cash Flow Data'!I3,0)</f>
        <v>15642</v>
      </c>
      <c r="K69" s="11">
        <f>IFERROR('Cash Flow Data'!J3,0)</f>
        <v>17541</v>
      </c>
      <c r="L69" s="11">
        <f>IFERROR('Cash Flow Data'!K3,0)</f>
        <v>22050</v>
      </c>
    </row>
    <row r="70" spans="1:12" x14ac:dyDescent="0.25">
      <c r="B70" t="str">
        <f>IFERROR('Cash Flow Data'!A4,0)</f>
        <v>Receivables</v>
      </c>
      <c r="C70">
        <f>IFERROR('Cash Flow Data'!B4,0)</f>
        <v>177</v>
      </c>
      <c r="D70">
        <f>IFERROR('Cash Flow Data'!C4,0)</f>
        <v>-8609</v>
      </c>
      <c r="E70">
        <f>IFERROR('Cash Flow Data'!D4,0)</f>
        <v>-11918</v>
      </c>
      <c r="F70">
        <f>IFERROR('Cash Flow Data'!E4,0)</f>
        <v>-13712</v>
      </c>
      <c r="G70">
        <f>IFERROR('Cash Flow Data'!F4,0)</f>
        <v>-1516</v>
      </c>
      <c r="H70">
        <f>IFERROR('Cash Flow Data'!G4,0)</f>
        <v>4896</v>
      </c>
      <c r="I70">
        <f>IFERROR('Cash Flow Data'!H4,0)</f>
        <v>-2506</v>
      </c>
      <c r="J70">
        <f>IFERROR('Cash Flow Data'!I4,0)</f>
        <v>-21702</v>
      </c>
      <c r="K70">
        <f>IFERROR('Cash Flow Data'!J4,0)</f>
        <v>-21777</v>
      </c>
      <c r="L70">
        <f>IFERROR('Cash Flow Data'!K4,0)</f>
        <v>-3782</v>
      </c>
    </row>
    <row r="71" spans="1:12" x14ac:dyDescent="0.25">
      <c r="B71" t="str">
        <f>IFERROR('Cash Flow Data'!A5,0)</f>
        <v>Inventory</v>
      </c>
      <c r="C71">
        <f>IFERROR('Cash Flow Data'!B5,0)</f>
        <v>-1113</v>
      </c>
      <c r="D71">
        <f>IFERROR('Cash Flow Data'!C5,0)</f>
        <v>241</v>
      </c>
      <c r="E71">
        <f>IFERROR('Cash Flow Data'!D5,0)</f>
        <v>-256</v>
      </c>
      <c r="F71">
        <f>IFERROR('Cash Flow Data'!E5,0)</f>
        <v>-2276</v>
      </c>
      <c r="G71">
        <f>IFERROR('Cash Flow Data'!F5,0)</f>
        <v>1316</v>
      </c>
      <c r="H71">
        <f>IFERROR('Cash Flow Data'!G5,0)</f>
        <v>226</v>
      </c>
      <c r="I71">
        <f>IFERROR('Cash Flow Data'!H5,0)</f>
        <v>-2173</v>
      </c>
      <c r="J71">
        <f>IFERROR('Cash Flow Data'!I5,0)</f>
        <v>-5252</v>
      </c>
      <c r="K71">
        <f>IFERROR('Cash Flow Data'!J5,0)</f>
        <v>-1753</v>
      </c>
      <c r="L71">
        <f>IFERROR('Cash Flow Data'!K5,0)</f>
        <v>-1646</v>
      </c>
    </row>
    <row r="72" spans="1:12" x14ac:dyDescent="0.25">
      <c r="B72" t="str">
        <f>IFERROR('Cash Flow Data'!A6,0)</f>
        <v>Payables</v>
      </c>
      <c r="C72">
        <f>IFERROR('Cash Flow Data'!B6,0)</f>
        <v>1939</v>
      </c>
      <c r="D72">
        <f>IFERROR('Cash Flow Data'!C6,0)</f>
        <v>2645</v>
      </c>
      <c r="E72">
        <f>IFERROR('Cash Flow Data'!D6,0)</f>
        <v>5361</v>
      </c>
      <c r="F72">
        <f>IFERROR('Cash Flow Data'!E6,0)</f>
        <v>3466</v>
      </c>
      <c r="G72">
        <f>IFERROR('Cash Flow Data'!F6,0)</f>
        <v>-6775</v>
      </c>
      <c r="H72">
        <f>IFERROR('Cash Flow Data'!G6,0)</f>
        <v>7049</v>
      </c>
      <c r="I72">
        <f>IFERROR('Cash Flow Data'!H6,0)</f>
        <v>4972</v>
      </c>
      <c r="J72">
        <f>IFERROR('Cash Flow Data'!I6,0)</f>
        <v>7013</v>
      </c>
      <c r="K72">
        <f>IFERROR('Cash Flow Data'!J6,0)</f>
        <v>4354</v>
      </c>
      <c r="L72">
        <f>IFERROR('Cash Flow Data'!K6,0)</f>
        <v>8485</v>
      </c>
    </row>
    <row r="73" spans="1:12" x14ac:dyDescent="0.25">
      <c r="B73" t="str">
        <f>IFERROR('Cash Flow Data'!A7,0)</f>
        <v>Loans Advances</v>
      </c>
      <c r="C73">
        <f>IFERROR('Cash Flow Data'!B7,0)</f>
        <v>0</v>
      </c>
      <c r="D73">
        <f>IFERROR('Cash Flow Data'!C7,0)</f>
        <v>0</v>
      </c>
      <c r="E73">
        <f>IFERROR('Cash Flow Data'!D7,0)</f>
        <v>0</v>
      </c>
      <c r="F73">
        <f>IFERROR('Cash Flow Data'!E7,0)</f>
        <v>0</v>
      </c>
      <c r="G73">
        <f>IFERROR('Cash Flow Data'!F7,0)</f>
        <v>0</v>
      </c>
      <c r="H73">
        <f>IFERROR('Cash Flow Data'!G7,0)</f>
        <v>0</v>
      </c>
      <c r="I73">
        <f>IFERROR('Cash Flow Data'!H7,0)</f>
        <v>0</v>
      </c>
      <c r="J73">
        <f>IFERROR('Cash Flow Data'!I7,0)</f>
        <v>0</v>
      </c>
      <c r="K73">
        <f>IFERROR('Cash Flow Data'!J7,0)</f>
        <v>0</v>
      </c>
      <c r="L73">
        <f>IFERROR('Cash Flow Data'!K7,0)</f>
        <v>0</v>
      </c>
    </row>
    <row r="74" spans="1:12" x14ac:dyDescent="0.25">
      <c r="B74" t="str">
        <f>IFERROR('Cash Flow Data'!A8,0)</f>
        <v>Other WC items</v>
      </c>
      <c r="C74">
        <f>IFERROR('Cash Flow Data'!B8,0)</f>
        <v>-4241</v>
      </c>
      <c r="D74">
        <f>IFERROR('Cash Flow Data'!C8,0)</f>
        <v>0</v>
      </c>
      <c r="E74">
        <f>IFERROR('Cash Flow Data'!D8,0)</f>
        <v>0</v>
      </c>
      <c r="F74">
        <f>IFERROR('Cash Flow Data'!E8,0)</f>
        <v>0</v>
      </c>
      <c r="G74">
        <f>IFERROR('Cash Flow Data'!F8,0)</f>
        <v>0</v>
      </c>
      <c r="H74">
        <f>IFERROR('Cash Flow Data'!G8,0)</f>
        <v>0</v>
      </c>
      <c r="I74">
        <f>IFERROR('Cash Flow Data'!H8,0)</f>
        <v>0</v>
      </c>
      <c r="J74">
        <f>IFERROR('Cash Flow Data'!I8,0)</f>
        <v>0</v>
      </c>
      <c r="K74">
        <f>IFERROR('Cash Flow Data'!J8,0)</f>
        <v>0</v>
      </c>
      <c r="L74">
        <f>IFERROR('Cash Flow Data'!K8,0)</f>
        <v>-17170</v>
      </c>
    </row>
    <row r="75" spans="1:12" x14ac:dyDescent="0.25">
      <c r="B75" s="11" t="str">
        <f>IFERROR('Cash Flow Data'!A9,0)</f>
        <v>Working capital changes</v>
      </c>
      <c r="C75" s="11">
        <f>IFERROR('Cash Flow Data'!B9,0)</f>
        <v>-3238</v>
      </c>
      <c r="D75" s="11">
        <f>IFERROR('Cash Flow Data'!C9,0)</f>
        <v>-5724</v>
      </c>
      <c r="E75" s="11">
        <f>IFERROR('Cash Flow Data'!D9,0)</f>
        <v>-6813</v>
      </c>
      <c r="F75" s="11">
        <f>IFERROR('Cash Flow Data'!E9,0)</f>
        <v>-12522</v>
      </c>
      <c r="G75" s="11">
        <f>IFERROR('Cash Flow Data'!F9,0)</f>
        <v>-6974</v>
      </c>
      <c r="H75" s="11">
        <f>IFERROR('Cash Flow Data'!G9,0)</f>
        <v>12171</v>
      </c>
      <c r="I75" s="11">
        <f>IFERROR('Cash Flow Data'!H9,0)</f>
        <v>293</v>
      </c>
      <c r="J75" s="11">
        <f>IFERROR('Cash Flow Data'!I9,0)</f>
        <v>-19941</v>
      </c>
      <c r="K75" s="11">
        <f>IFERROR('Cash Flow Data'!J9,0)</f>
        <v>-19175</v>
      </c>
      <c r="L75" s="11">
        <f>IFERROR('Cash Flow Data'!K9,0)</f>
        <v>-14113</v>
      </c>
    </row>
    <row r="76" spans="1:12" x14ac:dyDescent="0.25">
      <c r="B76" s="11" t="str">
        <f>IFERROR('Cash Flow Data'!A10,0)</f>
        <v>Direct taxes</v>
      </c>
      <c r="C76" s="11">
        <f>IFERROR('Cash Flow Data'!B10,0)</f>
        <v>-1973</v>
      </c>
      <c r="D76" s="11">
        <f>IFERROR('Cash Flow Data'!C10,0)</f>
        <v>-2005</v>
      </c>
      <c r="E76" s="11">
        <f>IFERROR('Cash Flow Data'!D10,0)</f>
        <v>-2664</v>
      </c>
      <c r="F76" s="11">
        <f>IFERROR('Cash Flow Data'!E10,0)</f>
        <v>-2937</v>
      </c>
      <c r="G76" s="11">
        <f>IFERROR('Cash Flow Data'!F10,0)</f>
        <v>-2257</v>
      </c>
      <c r="H76" s="11">
        <f>IFERROR('Cash Flow Data'!G10,0)</f>
        <v>-1850</v>
      </c>
      <c r="I76" s="11">
        <f>IFERROR('Cash Flow Data'!H10,0)</f>
        <v>-1560</v>
      </c>
      <c r="J76" s="11">
        <f>IFERROR('Cash Flow Data'!I10,0)</f>
        <v>-2775</v>
      </c>
      <c r="K76" s="11">
        <f>IFERROR('Cash Flow Data'!J10,0)</f>
        <v>-3996</v>
      </c>
      <c r="L76" s="11">
        <f>IFERROR('Cash Flow Data'!K10,0)</f>
        <v>-4761</v>
      </c>
    </row>
    <row r="77" spans="1:12" x14ac:dyDescent="0.25">
      <c r="B77" s="30" t="s">
        <v>116</v>
      </c>
      <c r="C77" s="30">
        <f>IFERROR(SUM(C69,C75,C76),0)</f>
        <v>2384</v>
      </c>
      <c r="D77" s="30">
        <f t="shared" ref="D77:L77" si="21">IFERROR(SUM(D69,D75,D76),0)</f>
        <v>182</v>
      </c>
      <c r="E77" s="30">
        <f t="shared" si="21"/>
        <v>682</v>
      </c>
      <c r="F77" s="30">
        <f t="shared" si="21"/>
        <v>-4347</v>
      </c>
      <c r="G77" s="30">
        <f t="shared" si="21"/>
        <v>-1457</v>
      </c>
      <c r="H77" s="30">
        <f t="shared" si="21"/>
        <v>17909</v>
      </c>
      <c r="I77" s="30">
        <f t="shared" si="21"/>
        <v>9248</v>
      </c>
      <c r="J77" s="30">
        <f t="shared" si="21"/>
        <v>-7074</v>
      </c>
      <c r="K77" s="30">
        <f t="shared" si="21"/>
        <v>-5630</v>
      </c>
      <c r="L77" s="30">
        <f t="shared" si="21"/>
        <v>3176</v>
      </c>
    </row>
    <row r="78" spans="1:12" x14ac:dyDescent="0.25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x14ac:dyDescent="0.25">
      <c r="B79" s="11" t="s">
        <v>117</v>
      </c>
    </row>
    <row r="80" spans="1:12" x14ac:dyDescent="0.25">
      <c r="B80" t="str">
        <f>IFERROR('Cash Flow Data'!A12,0)</f>
        <v>Fixed assets purchased</v>
      </c>
      <c r="C80">
        <f>IFERROR('Cash Flow Data'!B12,0)</f>
        <v>-4172</v>
      </c>
      <c r="D80">
        <f>IFERROR('Cash Flow Data'!C12,0)</f>
        <v>-5026</v>
      </c>
      <c r="E80">
        <f>IFERROR('Cash Flow Data'!D12,0)</f>
        <v>-5906</v>
      </c>
      <c r="F80">
        <f>IFERROR('Cash Flow Data'!E12,0)</f>
        <v>-7340</v>
      </c>
      <c r="G80">
        <f>IFERROR('Cash Flow Data'!F12,0)</f>
        <v>-6896</v>
      </c>
      <c r="H80">
        <f>IFERROR('Cash Flow Data'!G12,0)</f>
        <v>-5989</v>
      </c>
      <c r="I80">
        <f>IFERROR('Cash Flow Data'!H12,0)</f>
        <v>-6040</v>
      </c>
      <c r="J80">
        <f>IFERROR('Cash Flow Data'!I12,0)</f>
        <v>-6305</v>
      </c>
      <c r="K80">
        <f>IFERROR('Cash Flow Data'!J12,0)</f>
        <v>-9946</v>
      </c>
      <c r="L80">
        <f>IFERROR('Cash Flow Data'!K12,0)</f>
        <v>-10392</v>
      </c>
    </row>
    <row r="81" spans="2:12" x14ac:dyDescent="0.25">
      <c r="B81" t="str">
        <f>IFERROR('Cash Flow Data'!A13,0)</f>
        <v>Fixed assets sold</v>
      </c>
      <c r="C81">
        <f>IFERROR('Cash Flow Data'!B13,0)</f>
        <v>59</v>
      </c>
      <c r="D81">
        <f>IFERROR('Cash Flow Data'!C13,0)</f>
        <v>63</v>
      </c>
      <c r="E81">
        <f>IFERROR('Cash Flow Data'!D13,0)</f>
        <v>115</v>
      </c>
      <c r="F81">
        <f>IFERROR('Cash Flow Data'!E13,0)</f>
        <v>142</v>
      </c>
      <c r="G81">
        <f>IFERROR('Cash Flow Data'!F13,0)</f>
        <v>102</v>
      </c>
      <c r="H81">
        <f>IFERROR('Cash Flow Data'!G13,0)</f>
        <v>1364</v>
      </c>
      <c r="I81">
        <f>IFERROR('Cash Flow Data'!H13,0)</f>
        <v>120</v>
      </c>
      <c r="J81">
        <f>IFERROR('Cash Flow Data'!I13,0)</f>
        <v>138</v>
      </c>
      <c r="K81">
        <f>IFERROR('Cash Flow Data'!J13,0)</f>
        <v>273</v>
      </c>
      <c r="L81">
        <f>IFERROR('Cash Flow Data'!K13,0)</f>
        <v>583</v>
      </c>
    </row>
    <row r="82" spans="2:12" x14ac:dyDescent="0.25">
      <c r="B82" t="str">
        <f>IFERROR('Cash Flow Data'!A14,0)</f>
        <v>Investments purchased</v>
      </c>
      <c r="C82">
        <f>IFERROR('Cash Flow Data'!B14,0)</f>
        <v>-87898</v>
      </c>
      <c r="D82">
        <f>IFERROR('Cash Flow Data'!C14,0)</f>
        <v>-132173</v>
      </c>
      <c r="E82">
        <f>IFERROR('Cash Flow Data'!D14,0)</f>
        <v>-155159</v>
      </c>
      <c r="F82">
        <f>IFERROR('Cash Flow Data'!E14,0)</f>
        <v>-196474</v>
      </c>
      <c r="G82">
        <f>IFERROR('Cash Flow Data'!F14,0)</f>
        <v>-198568</v>
      </c>
      <c r="H82">
        <f>IFERROR('Cash Flow Data'!G14,0)</f>
        <v>-120055</v>
      </c>
      <c r="I82">
        <f>IFERROR('Cash Flow Data'!H14,0)</f>
        <v>-65421</v>
      </c>
      <c r="J82">
        <f>IFERROR('Cash Flow Data'!I14,0)</f>
        <v>-50165</v>
      </c>
      <c r="K82">
        <f>IFERROR('Cash Flow Data'!J14,0)</f>
        <v>-49927</v>
      </c>
      <c r="L82">
        <f>IFERROR('Cash Flow Data'!K14,0)</f>
        <v>-90595</v>
      </c>
    </row>
    <row r="83" spans="2:12" x14ac:dyDescent="0.25">
      <c r="B83" t="str">
        <f>IFERROR('Cash Flow Data'!A15,0)</f>
        <v>Investments sold</v>
      </c>
      <c r="C83">
        <f>IFERROR('Cash Flow Data'!B15,0)</f>
        <v>86436</v>
      </c>
      <c r="D83">
        <f>IFERROR('Cash Flow Data'!C15,0)</f>
        <v>130940</v>
      </c>
      <c r="E83">
        <f>IFERROR('Cash Flow Data'!D15,0)</f>
        <v>154631</v>
      </c>
      <c r="F83">
        <f>IFERROR('Cash Flow Data'!E15,0)</f>
        <v>195898</v>
      </c>
      <c r="G83">
        <f>IFERROR('Cash Flow Data'!F15,0)</f>
        <v>198132</v>
      </c>
      <c r="H83">
        <f>IFERROR('Cash Flow Data'!G15,0)</f>
        <v>111749</v>
      </c>
      <c r="I83">
        <f>IFERROR('Cash Flow Data'!H15,0)</f>
        <v>65127</v>
      </c>
      <c r="J83">
        <f>IFERROR('Cash Flow Data'!I15,0)</f>
        <v>46269</v>
      </c>
      <c r="K83">
        <f>IFERROR('Cash Flow Data'!J15,0)</f>
        <v>50919</v>
      </c>
      <c r="L83">
        <f>IFERROR('Cash Flow Data'!K15,0)</f>
        <v>85634</v>
      </c>
    </row>
    <row r="84" spans="2:12" x14ac:dyDescent="0.25">
      <c r="B84" t="str">
        <f>IFERROR('Cash Flow Data'!A16,0)</f>
        <v>Interest received</v>
      </c>
      <c r="C84">
        <f>IFERROR('Cash Flow Data'!B16,0)</f>
        <v>311</v>
      </c>
      <c r="D84">
        <f>IFERROR('Cash Flow Data'!C16,0)</f>
        <v>346</v>
      </c>
      <c r="E84">
        <f>IFERROR('Cash Flow Data'!D16,0)</f>
        <v>254</v>
      </c>
      <c r="F84">
        <f>IFERROR('Cash Flow Data'!E16,0)</f>
        <v>314</v>
      </c>
      <c r="G84">
        <f>IFERROR('Cash Flow Data'!F16,0)</f>
        <v>372</v>
      </c>
      <c r="H84">
        <f>IFERROR('Cash Flow Data'!G16,0)</f>
        <v>431</v>
      </c>
      <c r="I84">
        <f>IFERROR('Cash Flow Data'!H16,0)</f>
        <v>420</v>
      </c>
      <c r="J84">
        <f>IFERROR('Cash Flow Data'!I16,0)</f>
        <v>464</v>
      </c>
      <c r="K84">
        <f>IFERROR('Cash Flow Data'!J16,0)</f>
        <v>703</v>
      </c>
      <c r="L84">
        <f>IFERROR('Cash Flow Data'!K16,0)</f>
        <v>884</v>
      </c>
    </row>
    <row r="85" spans="2:12" x14ac:dyDescent="0.25">
      <c r="B85" t="str">
        <f>IFERROR('Cash Flow Data'!A17,0)</f>
        <v>Dividends received</v>
      </c>
      <c r="C85">
        <f>IFERROR('Cash Flow Data'!B17,0)</f>
        <v>208</v>
      </c>
      <c r="D85">
        <f>IFERROR('Cash Flow Data'!C17,0)</f>
        <v>409</v>
      </c>
      <c r="E85">
        <f>IFERROR('Cash Flow Data'!D17,0)</f>
        <v>316</v>
      </c>
      <c r="F85">
        <f>IFERROR('Cash Flow Data'!E17,0)</f>
        <v>466</v>
      </c>
      <c r="G85">
        <f>IFERROR('Cash Flow Data'!F17,0)</f>
        <v>722</v>
      </c>
      <c r="H85">
        <f>IFERROR('Cash Flow Data'!G17,0)</f>
        <v>577</v>
      </c>
      <c r="I85">
        <f>IFERROR('Cash Flow Data'!H17,0)</f>
        <v>1247</v>
      </c>
      <c r="J85">
        <f>IFERROR('Cash Flow Data'!I17,0)</f>
        <v>1397</v>
      </c>
      <c r="K85">
        <f>IFERROR('Cash Flow Data'!J17,0)</f>
        <v>1213</v>
      </c>
      <c r="L85">
        <f>IFERROR('Cash Flow Data'!K17,0)</f>
        <v>1374</v>
      </c>
    </row>
    <row r="86" spans="2:12" x14ac:dyDescent="0.25">
      <c r="B86" t="str">
        <f>IFERROR('Cash Flow Data'!A18,0)</f>
        <v>Investment in group cos</v>
      </c>
      <c r="C86">
        <f>IFERROR('Cash Flow Data'!B18,0)</f>
        <v>-147</v>
      </c>
      <c r="D86">
        <f>IFERROR('Cash Flow Data'!C18,0)</f>
        <v>-647</v>
      </c>
      <c r="E86">
        <f>IFERROR('Cash Flow Data'!D18,0)</f>
        <v>-704</v>
      </c>
      <c r="F86">
        <f>IFERROR('Cash Flow Data'!E18,0)</f>
        <v>-319</v>
      </c>
      <c r="G86">
        <f>IFERROR('Cash Flow Data'!F18,0)</f>
        <v>-418</v>
      </c>
      <c r="H86">
        <f>IFERROR('Cash Flow Data'!G18,0)</f>
        <v>-359</v>
      </c>
      <c r="I86">
        <f>IFERROR('Cash Flow Data'!H18,0)</f>
        <v>-222</v>
      </c>
      <c r="J86">
        <f>IFERROR('Cash Flow Data'!I18,0)</f>
        <v>-62</v>
      </c>
      <c r="K86">
        <f>IFERROR('Cash Flow Data'!J18,0)</f>
        <v>-249</v>
      </c>
      <c r="L86">
        <f>IFERROR('Cash Flow Data'!K18,0)</f>
        <v>-29</v>
      </c>
    </row>
    <row r="87" spans="2:12" x14ac:dyDescent="0.25">
      <c r="B87" t="str">
        <f>IFERROR('Cash Flow Data'!A19,0)</f>
        <v>Issue of shares on acq</v>
      </c>
      <c r="C87">
        <f>IFERROR('Cash Flow Data'!B19,0)</f>
        <v>0</v>
      </c>
      <c r="D87">
        <f>IFERROR('Cash Flow Data'!C19,0)</f>
        <v>0</v>
      </c>
      <c r="E87">
        <f>IFERROR('Cash Flow Data'!D19,0)</f>
        <v>0</v>
      </c>
      <c r="F87">
        <f>IFERROR('Cash Flow Data'!E19,0)</f>
        <v>0</v>
      </c>
      <c r="G87">
        <f>IFERROR('Cash Flow Data'!F19,0)</f>
        <v>0</v>
      </c>
      <c r="H87">
        <f>IFERROR('Cash Flow Data'!G19,0)</f>
        <v>0</v>
      </c>
      <c r="I87">
        <f>IFERROR('Cash Flow Data'!H19,0)</f>
        <v>0</v>
      </c>
      <c r="J87">
        <f>IFERROR('Cash Flow Data'!I19,0)</f>
        <v>0</v>
      </c>
      <c r="K87">
        <f>IFERROR('Cash Flow Data'!J19,0)</f>
        <v>0</v>
      </c>
      <c r="L87">
        <f>IFERROR('Cash Flow Data'!K19,0)</f>
        <v>0</v>
      </c>
    </row>
    <row r="88" spans="2:12" x14ac:dyDescent="0.25">
      <c r="B88" t="str">
        <f>IFERROR('Cash Flow Data'!A20,0)</f>
        <v>Redemp n Canc of Shares</v>
      </c>
      <c r="C88">
        <f>IFERROR('Cash Flow Data'!B20,0)</f>
        <v>0</v>
      </c>
      <c r="D88">
        <f>IFERROR('Cash Flow Data'!C20,0)</f>
        <v>88</v>
      </c>
      <c r="E88">
        <f>IFERROR('Cash Flow Data'!D20,0)</f>
        <v>1677</v>
      </c>
      <c r="F88">
        <f>IFERROR('Cash Flow Data'!E20,0)</f>
        <v>717</v>
      </c>
      <c r="G88">
        <f>IFERROR('Cash Flow Data'!F20,0)</f>
        <v>175</v>
      </c>
      <c r="H88">
        <f>IFERROR('Cash Flow Data'!G20,0)</f>
        <v>316</v>
      </c>
      <c r="I88">
        <f>IFERROR('Cash Flow Data'!H20,0)</f>
        <v>617</v>
      </c>
      <c r="J88">
        <f>IFERROR('Cash Flow Data'!I20,0)</f>
        <v>1863</v>
      </c>
      <c r="K88">
        <f>IFERROR('Cash Flow Data'!J20,0)</f>
        <v>1043</v>
      </c>
      <c r="L88">
        <f>IFERROR('Cash Flow Data'!K20,0)</f>
        <v>0</v>
      </c>
    </row>
    <row r="89" spans="2:12" x14ac:dyDescent="0.25">
      <c r="B89" t="str">
        <f>IFERROR('Cash Flow Data'!A21,0)</f>
        <v>Acquisition of companies</v>
      </c>
      <c r="C89">
        <f>IFERROR('Cash Flow Data'!B21,0)</f>
        <v>-208</v>
      </c>
      <c r="D89">
        <f>IFERROR('Cash Flow Data'!C21,0)</f>
        <v>-83</v>
      </c>
      <c r="E89">
        <f>IFERROR('Cash Flow Data'!D21,0)</f>
        <v>-401</v>
      </c>
      <c r="F89">
        <f>IFERROR('Cash Flow Data'!E21,0)</f>
        <v>0</v>
      </c>
      <c r="G89">
        <f>IFERROR('Cash Flow Data'!F21,0)</f>
        <v>-59</v>
      </c>
      <c r="H89">
        <f>IFERROR('Cash Flow Data'!G21,0)</f>
        <v>0</v>
      </c>
      <c r="I89">
        <f>IFERROR('Cash Flow Data'!H21,0)</f>
        <v>-42</v>
      </c>
      <c r="J89">
        <f>IFERROR('Cash Flow Data'!I21,0)</f>
        <v>-587</v>
      </c>
      <c r="K89">
        <f>IFERROR('Cash Flow Data'!J21,0)</f>
        <v>-53</v>
      </c>
      <c r="L89">
        <f>IFERROR('Cash Flow Data'!K21,0)</f>
        <v>0</v>
      </c>
    </row>
    <row r="90" spans="2:12" x14ac:dyDescent="0.25">
      <c r="B90" t="str">
        <f>IFERROR('Cash Flow Data'!A22,0)</f>
        <v>Inter corporate deposits</v>
      </c>
      <c r="C90">
        <f>IFERROR('Cash Flow Data'!B22,0)</f>
        <v>0</v>
      </c>
      <c r="D90">
        <f>IFERROR('Cash Flow Data'!C22,0)</f>
        <v>0</v>
      </c>
      <c r="E90">
        <f>IFERROR('Cash Flow Data'!D22,0)</f>
        <v>0</v>
      </c>
      <c r="F90">
        <f>IFERROR('Cash Flow Data'!E22,0)</f>
        <v>0</v>
      </c>
      <c r="G90">
        <f>IFERROR('Cash Flow Data'!F22,0)</f>
        <v>6</v>
      </c>
      <c r="H90">
        <f>IFERROR('Cash Flow Data'!G22,0)</f>
        <v>-262</v>
      </c>
      <c r="I90">
        <f>IFERROR('Cash Flow Data'!H22,0)</f>
        <v>-552</v>
      </c>
      <c r="J90">
        <f>IFERROR('Cash Flow Data'!I22,0)</f>
        <v>-93</v>
      </c>
      <c r="K90">
        <f>IFERROR('Cash Flow Data'!J22,0)</f>
        <v>485</v>
      </c>
      <c r="L90">
        <f>IFERROR('Cash Flow Data'!K22,0)</f>
        <v>0</v>
      </c>
    </row>
    <row r="91" spans="2:12" x14ac:dyDescent="0.25">
      <c r="B91" t="str">
        <f>IFERROR('Cash Flow Data'!A23,0)</f>
        <v>Other investing items</v>
      </c>
      <c r="C91">
        <f>IFERROR('Cash Flow Data'!B23,0)</f>
        <v>-94</v>
      </c>
      <c r="D91">
        <f>IFERROR('Cash Flow Data'!C23,0)</f>
        <v>209</v>
      </c>
      <c r="E91">
        <f>IFERROR('Cash Flow Data'!D23,0)</f>
        <v>-290</v>
      </c>
      <c r="F91">
        <f>IFERROR('Cash Flow Data'!E23,0)</f>
        <v>-577</v>
      </c>
      <c r="G91">
        <f>IFERROR('Cash Flow Data'!F23,0)</f>
        <v>-437</v>
      </c>
      <c r="H91">
        <f>IFERROR('Cash Flow Data'!G23,0)</f>
        <v>-7457</v>
      </c>
      <c r="I91">
        <f>IFERROR('Cash Flow Data'!H23,0)</f>
        <v>1494</v>
      </c>
      <c r="J91">
        <f>IFERROR('Cash Flow Data'!I23,0)</f>
        <v>-1786</v>
      </c>
      <c r="K91">
        <f>IFERROR('Cash Flow Data'!J23,0)</f>
        <v>-78</v>
      </c>
      <c r="L91">
        <f>IFERROR('Cash Flow Data'!K23,0)</f>
        <v>-6085</v>
      </c>
    </row>
    <row r="92" spans="2:12" x14ac:dyDescent="0.25">
      <c r="B92" s="30" t="s">
        <v>118</v>
      </c>
      <c r="C92" s="30">
        <f>IFERROR(SUM(C80:C91),0)</f>
        <v>-5505</v>
      </c>
      <c r="D92" s="30">
        <f t="shared" ref="D92:L92" si="22">IFERROR(SUM(D80:D91),0)</f>
        <v>-5874</v>
      </c>
      <c r="E92" s="30">
        <f t="shared" si="22"/>
        <v>-5467</v>
      </c>
      <c r="F92" s="30">
        <f t="shared" si="22"/>
        <v>-7173</v>
      </c>
      <c r="G92" s="30">
        <f t="shared" si="22"/>
        <v>-6869</v>
      </c>
      <c r="H92" s="30">
        <f t="shared" si="22"/>
        <v>-19685</v>
      </c>
      <c r="I92" s="30">
        <f t="shared" si="22"/>
        <v>-3252</v>
      </c>
      <c r="J92" s="30">
        <f t="shared" si="22"/>
        <v>-8867</v>
      </c>
      <c r="K92" s="30">
        <f t="shared" si="22"/>
        <v>-5617</v>
      </c>
      <c r="L92" s="30">
        <f t="shared" si="22"/>
        <v>-18626</v>
      </c>
    </row>
    <row r="93" spans="2:12" x14ac:dyDescent="0.25">
      <c r="B93" s="11"/>
    </row>
    <row r="94" spans="2:12" x14ac:dyDescent="0.25">
      <c r="B94" s="11" t="s">
        <v>119</v>
      </c>
    </row>
    <row r="95" spans="2:12" x14ac:dyDescent="0.25">
      <c r="B95" t="str">
        <f>IFERROR('Cash Flow Data'!A25,0)</f>
        <v>Proceeds from shares</v>
      </c>
      <c r="C95">
        <f>IFERROR('Cash Flow Data'!B25,0)</f>
        <v>18</v>
      </c>
      <c r="D95">
        <f>IFERROR('Cash Flow Data'!C25,0)</f>
        <v>12</v>
      </c>
      <c r="E95">
        <f>IFERROR('Cash Flow Data'!D25,0)</f>
        <v>4</v>
      </c>
      <c r="F95">
        <f>IFERROR('Cash Flow Data'!E25,0)</f>
        <v>1</v>
      </c>
      <c r="G95">
        <f>IFERROR('Cash Flow Data'!F25,0)</f>
        <v>1243</v>
      </c>
      <c r="H95">
        <f>IFERROR('Cash Flow Data'!G25,0)</f>
        <v>1</v>
      </c>
      <c r="I95">
        <f>IFERROR('Cash Flow Data'!H25,0)</f>
        <v>1</v>
      </c>
      <c r="J95">
        <f>IFERROR('Cash Flow Data'!I25,0)</f>
        <v>1</v>
      </c>
      <c r="K95">
        <f>IFERROR('Cash Flow Data'!J25,0)</f>
        <v>1</v>
      </c>
      <c r="L95">
        <f>IFERROR('Cash Flow Data'!K25,0)</f>
        <v>1</v>
      </c>
    </row>
    <row r="96" spans="2:12" x14ac:dyDescent="0.25">
      <c r="B96" t="str">
        <f>IFERROR('Cash Flow Data'!A26,0)</f>
        <v>Proceeds from borrowings</v>
      </c>
      <c r="C96">
        <f>IFERROR('Cash Flow Data'!B26,0)</f>
        <v>0</v>
      </c>
      <c r="D96">
        <f>IFERROR('Cash Flow Data'!C26,0)</f>
        <v>0</v>
      </c>
      <c r="E96">
        <f>IFERROR('Cash Flow Data'!D26,0)</f>
        <v>0</v>
      </c>
      <c r="F96">
        <f>IFERROR('Cash Flow Data'!E26,0)</f>
        <v>71389</v>
      </c>
      <c r="G96">
        <f>IFERROR('Cash Flow Data'!F26,0)</f>
        <v>52618</v>
      </c>
      <c r="H96">
        <f>IFERROR('Cash Flow Data'!G26,0)</f>
        <v>38100</v>
      </c>
      <c r="I96">
        <f>IFERROR('Cash Flow Data'!H26,0)</f>
        <v>53880</v>
      </c>
      <c r="J96">
        <f>IFERROR('Cash Flow Data'!I26,0)</f>
        <v>55622</v>
      </c>
      <c r="K96">
        <f>IFERROR('Cash Flow Data'!J26,0)</f>
        <v>61308</v>
      </c>
      <c r="L96">
        <f>IFERROR('Cash Flow Data'!K26,0)</f>
        <v>84640</v>
      </c>
    </row>
    <row r="97" spans="2:12" x14ac:dyDescent="0.25">
      <c r="B97" t="str">
        <f>IFERROR('Cash Flow Data'!A27,0)</f>
        <v>Repayment of borrowings</v>
      </c>
      <c r="C97">
        <f>IFERROR('Cash Flow Data'!B27,0)</f>
        <v>0</v>
      </c>
      <c r="D97">
        <f>IFERROR('Cash Flow Data'!C27,0)</f>
        <v>0</v>
      </c>
      <c r="E97">
        <f>IFERROR('Cash Flow Data'!D27,0)</f>
        <v>0</v>
      </c>
      <c r="F97">
        <f>IFERROR('Cash Flow Data'!E27,0)</f>
        <v>-56352</v>
      </c>
      <c r="G97">
        <f>IFERROR('Cash Flow Data'!F27,0)</f>
        <v>-44044</v>
      </c>
      <c r="H97">
        <f>IFERROR('Cash Flow Data'!G27,0)</f>
        <v>-37505</v>
      </c>
      <c r="I97">
        <f>IFERROR('Cash Flow Data'!H27,0)</f>
        <v>-57223</v>
      </c>
      <c r="J97">
        <f>IFERROR('Cash Flow Data'!I27,0)</f>
        <v>-37056</v>
      </c>
      <c r="K97">
        <f>IFERROR('Cash Flow Data'!J27,0)</f>
        <v>-46805</v>
      </c>
      <c r="L97">
        <f>IFERROR('Cash Flow Data'!K27,0)</f>
        <v>-64227</v>
      </c>
    </row>
    <row r="98" spans="2:12" x14ac:dyDescent="0.25">
      <c r="B98" t="str">
        <f>IFERROR('Cash Flow Data'!A28,0)</f>
        <v>Interest paid fin</v>
      </c>
      <c r="C98">
        <f>IFERROR('Cash Flow Data'!B28,0)</f>
        <v>-443</v>
      </c>
      <c r="D98">
        <f>IFERROR('Cash Flow Data'!C28,0)</f>
        <v>-471</v>
      </c>
      <c r="E98">
        <f>IFERROR('Cash Flow Data'!D28,0)</f>
        <v>-521</v>
      </c>
      <c r="F98">
        <f>IFERROR('Cash Flow Data'!E28,0)</f>
        <v>-723</v>
      </c>
      <c r="G98">
        <f>IFERROR('Cash Flow Data'!F28,0)</f>
        <v>-624</v>
      </c>
      <c r="H98">
        <f>IFERROR('Cash Flow Data'!G28,0)</f>
        <v>-809</v>
      </c>
      <c r="I98">
        <f>IFERROR('Cash Flow Data'!H28,0)</f>
        <v>-680</v>
      </c>
      <c r="J98">
        <f>IFERROR('Cash Flow Data'!I28,0)</f>
        <v>-734</v>
      </c>
      <c r="K98">
        <f>IFERROR('Cash Flow Data'!J28,0)</f>
        <v>-597</v>
      </c>
      <c r="L98">
        <f>IFERROR('Cash Flow Data'!K28,0)</f>
        <v>-436</v>
      </c>
    </row>
    <row r="99" spans="2:12" x14ac:dyDescent="0.25">
      <c r="B99" t="str">
        <f>IFERROR('Cash Flow Data'!A29,0)</f>
        <v>Dividends paid</v>
      </c>
      <c r="C99">
        <f>IFERROR('Cash Flow Data'!B29,0)</f>
        <v>-932</v>
      </c>
      <c r="D99">
        <f>IFERROR('Cash Flow Data'!C29,0)</f>
        <v>-936</v>
      </c>
      <c r="E99">
        <f>IFERROR('Cash Flow Data'!D29,0)</f>
        <v>-963</v>
      </c>
      <c r="F99">
        <f>IFERROR('Cash Flow Data'!E29,0)</f>
        <v>-1134</v>
      </c>
      <c r="G99">
        <f>IFERROR('Cash Flow Data'!F29,0)</f>
        <v>-1398</v>
      </c>
      <c r="H99">
        <f>IFERROR('Cash Flow Data'!G29,0)</f>
        <v>-271</v>
      </c>
      <c r="I99">
        <f>IFERROR('Cash Flow Data'!H29,0)</f>
        <v>-1037</v>
      </c>
      <c r="J99">
        <f>IFERROR('Cash Flow Data'!I29,0)</f>
        <v>-1522</v>
      </c>
      <c r="K99">
        <f>IFERROR('Cash Flow Data'!J29,0)</f>
        <v>-2247</v>
      </c>
      <c r="L99">
        <f>IFERROR('Cash Flow Data'!K29,0)</f>
        <v>-2806</v>
      </c>
    </row>
    <row r="100" spans="2:12" x14ac:dyDescent="0.25">
      <c r="B100" t="str">
        <f>IFERROR('Cash Flow Data'!A30,0)</f>
        <v>Financial liabilities</v>
      </c>
      <c r="C100">
        <f>IFERROR('Cash Flow Data'!B30,0)</f>
        <v>0</v>
      </c>
      <c r="D100">
        <f>IFERROR('Cash Flow Data'!C30,0)</f>
        <v>0</v>
      </c>
      <c r="E100">
        <f>IFERROR('Cash Flow Data'!D30,0)</f>
        <v>0</v>
      </c>
      <c r="F100">
        <f>IFERROR('Cash Flow Data'!E30,0)</f>
        <v>0</v>
      </c>
      <c r="G100">
        <f>IFERROR('Cash Flow Data'!F30,0)</f>
        <v>-558</v>
      </c>
      <c r="H100">
        <f>IFERROR('Cash Flow Data'!G30,0)</f>
        <v>-553</v>
      </c>
      <c r="I100">
        <f>IFERROR('Cash Flow Data'!H30,0)</f>
        <v>-583</v>
      </c>
      <c r="J100">
        <f>IFERROR('Cash Flow Data'!I30,0)</f>
        <v>-751</v>
      </c>
      <c r="K100">
        <f>IFERROR('Cash Flow Data'!J30,0)</f>
        <v>-786</v>
      </c>
      <c r="L100">
        <f>IFERROR('Cash Flow Data'!K30,0)</f>
        <v>-1774</v>
      </c>
    </row>
    <row r="101" spans="2:12" x14ac:dyDescent="0.25">
      <c r="B101" t="str">
        <f>IFERROR('Cash Flow Data'!A31,0)</f>
        <v>Other financing items</v>
      </c>
      <c r="C101">
        <f>IFERROR('Cash Flow Data'!B31,0)</f>
        <v>4324</v>
      </c>
      <c r="D101">
        <f>IFERROR('Cash Flow Data'!C31,0)</f>
        <v>7503</v>
      </c>
      <c r="E101">
        <f>IFERROR('Cash Flow Data'!D31,0)</f>
        <v>7794</v>
      </c>
      <c r="F101">
        <f>IFERROR('Cash Flow Data'!E31,0)</f>
        <v>12</v>
      </c>
      <c r="G101">
        <f>IFERROR('Cash Flow Data'!F31,0)</f>
        <v>-304</v>
      </c>
      <c r="H101">
        <f>IFERROR('Cash Flow Data'!G31,0)</f>
        <v>1444</v>
      </c>
      <c r="I101">
        <f>IFERROR('Cash Flow Data'!H31,0)</f>
        <v>-240</v>
      </c>
      <c r="J101">
        <f>IFERROR('Cash Flow Data'!I31,0)</f>
        <v>386</v>
      </c>
      <c r="K101">
        <f>IFERROR('Cash Flow Data'!J31,0)</f>
        <v>1408</v>
      </c>
      <c r="L101">
        <f>IFERROR('Cash Flow Data'!K31,0)</f>
        <v>437</v>
      </c>
    </row>
    <row r="102" spans="2:12" x14ac:dyDescent="0.25">
      <c r="B102" s="30" t="s">
        <v>120</v>
      </c>
      <c r="C102" s="30">
        <f>IFERROR(SUM(C95:C101),0)</f>
        <v>2967</v>
      </c>
      <c r="D102" s="30">
        <f t="shared" ref="D102:L102" si="23">IFERROR(SUM(D95:D101),0)</f>
        <v>6108</v>
      </c>
      <c r="E102" s="30">
        <f t="shared" si="23"/>
        <v>6314</v>
      </c>
      <c r="F102" s="30">
        <f t="shared" si="23"/>
        <v>13193</v>
      </c>
      <c r="G102" s="30">
        <f t="shared" si="23"/>
        <v>6933</v>
      </c>
      <c r="H102" s="30">
        <f t="shared" si="23"/>
        <v>407</v>
      </c>
      <c r="I102" s="30">
        <f t="shared" si="23"/>
        <v>-5882</v>
      </c>
      <c r="J102" s="30">
        <f t="shared" si="23"/>
        <v>15946</v>
      </c>
      <c r="K102" s="30">
        <f t="shared" si="23"/>
        <v>12282</v>
      </c>
      <c r="L102" s="30">
        <f t="shared" si="23"/>
        <v>15835</v>
      </c>
    </row>
    <row r="104" spans="2:12" x14ac:dyDescent="0.25">
      <c r="B104" s="11" t="str">
        <f>IFERROR('Cash Flow Data'!A32,0)</f>
        <v>Net Cash Flow</v>
      </c>
      <c r="C104" s="11">
        <f>IFERROR('Cash Flow Data'!B32,0)</f>
        <v>-154</v>
      </c>
      <c r="D104" s="11">
        <f>IFERROR('Cash Flow Data'!C32,0)</f>
        <v>416</v>
      </c>
      <c r="E104" s="11">
        <f>IFERROR('Cash Flow Data'!D32,0)</f>
        <v>1529</v>
      </c>
      <c r="F104" s="11">
        <f>IFERROR('Cash Flow Data'!E32,0)</f>
        <v>1672</v>
      </c>
      <c r="G104" s="11">
        <f>IFERROR('Cash Flow Data'!F32,0)</f>
        <v>-1394</v>
      </c>
      <c r="H104" s="11">
        <f>IFERROR('Cash Flow Data'!G32,0)</f>
        <v>-1370</v>
      </c>
      <c r="I104" s="11">
        <f>IFERROR('Cash Flow Data'!H32,0)</f>
        <v>113</v>
      </c>
      <c r="J104" s="11">
        <f>IFERROR('Cash Flow Data'!I32,0)</f>
        <v>6</v>
      </c>
      <c r="K104" s="11">
        <f>IFERROR('Cash Flow Data'!J32,0)</f>
        <v>1037</v>
      </c>
      <c r="L104" s="11">
        <f>IFERROR('Cash Flow Data'!K32,0)</f>
        <v>384</v>
      </c>
    </row>
  </sheetData>
  <mergeCells count="1">
    <mergeCell ref="B2:M2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E320-ABA0-4BDC-AF02-855885076EE1}">
  <sheetPr>
    <tabColor theme="5" tint="-0.249977111117893"/>
  </sheetPr>
  <dimension ref="B2:O40"/>
  <sheetViews>
    <sheetView tabSelected="1" topLeftCell="A25" workbookViewId="0">
      <selection activeCell="F38" sqref="F38"/>
    </sheetView>
  </sheetViews>
  <sheetFormatPr defaultRowHeight="15" x14ac:dyDescent="0.25"/>
  <cols>
    <col min="1" max="1" width="2.7109375" customWidth="1"/>
    <col min="2" max="2" width="28.5703125" customWidth="1"/>
    <col min="13" max="13" width="20" customWidth="1"/>
  </cols>
  <sheetData>
    <row r="2" spans="2:15" x14ac:dyDescent="0.25">
      <c r="B2" s="48" t="str">
        <f>"Ratio Analysis of - "&amp;'Data Sheet'!B1</f>
        <v>Ratio Analysis of - MAHINDRA &amp; MAHINDRA LTD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2:15" x14ac:dyDescent="0.25">
      <c r="B3" s="31" t="s">
        <v>78</v>
      </c>
      <c r="C3" s="32">
        <f>'FS Analysis'!C3</f>
        <v>42460</v>
      </c>
      <c r="D3" s="32">
        <f>'FS Analysis'!D3</f>
        <v>42825</v>
      </c>
      <c r="E3" s="32">
        <f>'FS Analysis'!E3</f>
        <v>43190</v>
      </c>
      <c r="F3" s="32">
        <f>'FS Analysis'!F3</f>
        <v>43555</v>
      </c>
      <c r="G3" s="32">
        <f>'FS Analysis'!G3</f>
        <v>43921</v>
      </c>
      <c r="H3" s="32">
        <f>'FS Analysis'!H3</f>
        <v>44286</v>
      </c>
      <c r="I3" s="32">
        <f>'FS Analysis'!I3</f>
        <v>44651</v>
      </c>
      <c r="J3" s="32">
        <f>'FS Analysis'!J3</f>
        <v>45016</v>
      </c>
      <c r="K3" s="32">
        <f>'FS Analysis'!K3</f>
        <v>45382</v>
      </c>
      <c r="L3" s="32">
        <f>'FS Analysis'!L3</f>
        <v>45747</v>
      </c>
      <c r="M3" s="33" t="s">
        <v>121</v>
      </c>
      <c r="N3" s="34" t="s">
        <v>122</v>
      </c>
      <c r="O3" s="34" t="s">
        <v>123</v>
      </c>
    </row>
    <row r="5" spans="2:15" x14ac:dyDescent="0.25">
      <c r="B5" s="35" t="s">
        <v>124</v>
      </c>
      <c r="C5" s="37"/>
      <c r="D5" s="37">
        <f>IFERROR('FS Analysis'!D6,0)</f>
        <v>0.10458177075271013</v>
      </c>
      <c r="E5" s="37">
        <f>IFERROR('FS Analysis'!E6,0)</f>
        <v>9.9326692772914393E-2</v>
      </c>
      <c r="F5" s="37">
        <f>IFERROR('FS Analysis'!F6,0)</f>
        <v>0.13710705209191265</v>
      </c>
      <c r="G5" s="37">
        <f>IFERROR('FS Analysis'!G6,0)</f>
        <v>-0.28016195082002904</v>
      </c>
      <c r="H5" s="37">
        <f>IFERROR('FS Analysis'!H6,0)</f>
        <v>-1.4647409531700739E-2</v>
      </c>
      <c r="I5" s="37">
        <f>IFERROR('FS Analysis'!I6,0)</f>
        <v>0.21396425687466714</v>
      </c>
      <c r="J5" s="37">
        <f>IFERROR('FS Analysis'!J6,0)</f>
        <v>0.3448794878417647</v>
      </c>
      <c r="K5" s="37">
        <f>IFERROR('FS Analysis'!K6,0)</f>
        <v>0.14686182031532491</v>
      </c>
      <c r="L5" s="37">
        <f>IFERROR('FS Analysis'!L6,0)</f>
        <v>0.14475697749188288</v>
      </c>
      <c r="M5" s="35"/>
      <c r="N5" s="37">
        <f>IFERROR(AVERAGE(C5:L5),0)</f>
        <v>9.9629855309938564E-2</v>
      </c>
      <c r="O5" s="37">
        <f>IFERROR(MEDIAN(C5:L5),0)</f>
        <v>0.13710705209191265</v>
      </c>
    </row>
    <row r="6" spans="2:15" x14ac:dyDescent="0.25">
      <c r="B6" t="s">
        <v>125</v>
      </c>
      <c r="C6" s="38"/>
      <c r="D6" s="38">
        <f>IFERROR('FS Analysis'!D17/'FS Analysis'!C17-1,0)</f>
        <v>0.11585565011536247</v>
      </c>
      <c r="E6" s="38">
        <f>IFERROR('FS Analysis'!E17/'FS Analysis'!D17-1,0)</f>
        <v>0.37318755737059806</v>
      </c>
      <c r="F6" s="38">
        <f>IFERROR('FS Analysis'!F17/'FS Analysis'!E17-1,0)</f>
        <v>1.6509866983164923E-2</v>
      </c>
      <c r="G6" s="38">
        <f>IFERROR('FS Analysis'!G17/'FS Analysis'!F17-1,0)</f>
        <v>-0.38251609353261429</v>
      </c>
      <c r="H6" s="38">
        <f>IFERROR('FS Analysis'!H17/'FS Analysis'!G17-1,0)</f>
        <v>0.1445414238157523</v>
      </c>
      <c r="I6" s="38">
        <f>IFERROR('FS Analysis'!I17/'FS Analysis'!H17-1,0)</f>
        <v>0.41530067183446295</v>
      </c>
      <c r="J6" s="38">
        <f>IFERROR('FS Analysis'!J17/'FS Analysis'!I17-1,0)</f>
        <v>0.35552670830510036</v>
      </c>
      <c r="K6" s="38">
        <f>IFERROR('FS Analysis'!K17/'FS Analysis'!J17-1,0)</f>
        <v>0.16262144931648437</v>
      </c>
      <c r="L6" s="38">
        <f>IFERROR('FS Analysis'!L17/'FS Analysis'!K17-1,0)</f>
        <v>0.21450610824206562</v>
      </c>
      <c r="M6" s="35"/>
      <c r="N6" s="37">
        <f t="shared" ref="N6:N40" si="0">IFERROR(AVERAGE(C6:L6),0)</f>
        <v>0.15728148249448629</v>
      </c>
      <c r="O6" s="37">
        <f t="shared" ref="O6:O40" si="1">IFERROR(MEDIAN(C6:L6),0)</f>
        <v>0.16262144931648437</v>
      </c>
    </row>
    <row r="7" spans="2:15" x14ac:dyDescent="0.25">
      <c r="B7" t="s">
        <v>126</v>
      </c>
      <c r="C7" s="38"/>
      <c r="D7" s="38">
        <f>IFERROR(('FS Analysis'!D17-'FS Analysis'!D23)/('FS Analysis'!C17-'FS Analysis'!C23)-1,0)</f>
        <v>0.10609959268199409</v>
      </c>
      <c r="E7" s="38">
        <f>IFERROR(('FS Analysis'!E17-'FS Analysis'!E23)/('FS Analysis'!D17-'FS Analysis'!D23)-1,0)</f>
        <v>0.43144422486077949</v>
      </c>
      <c r="F7" s="38">
        <f>IFERROR(('FS Analysis'!F17-'FS Analysis'!F23)/('FS Analysis'!E17-'FS Analysis'!E23)-1,0)</f>
        <v>-2.937409738685004E-2</v>
      </c>
      <c r="G7" s="38">
        <f>IFERROR(('FS Analysis'!G17-'FS Analysis'!G23)/('FS Analysis'!F17-'FS Analysis'!F23)-1,0)</f>
        <v>-0.44747660376081821</v>
      </c>
      <c r="H7" s="38">
        <f>IFERROR(('FS Analysis'!H17-'FS Analysis'!H23)/('FS Analysis'!G17-'FS Analysis'!G23)-1,0)</f>
        <v>0.20644991505727339</v>
      </c>
      <c r="I7" s="38">
        <f>IFERROR(('FS Analysis'!I17-'FS Analysis'!I23)/('FS Analysis'!H17-'FS Analysis'!H23)-1,0)</f>
        <v>0.55282589774546032</v>
      </c>
      <c r="J7" s="38">
        <f>IFERROR(('FS Analysis'!J17-'FS Analysis'!J23)/('FS Analysis'!I17-'FS Analysis'!I23)-1,0)</f>
        <v>0.38318351690076691</v>
      </c>
      <c r="K7" s="38">
        <f>IFERROR(('FS Analysis'!K17-'FS Analysis'!K23)/('FS Analysis'!J17-'FS Analysis'!J23)-1,0)</f>
        <v>0.17979299072445087</v>
      </c>
      <c r="L7" s="38">
        <f>IFERROR(('FS Analysis'!L17-'FS Analysis'!L23)/('FS Analysis'!K17-'FS Analysis'!K23)-1,0)</f>
        <v>0.20016236256711895</v>
      </c>
      <c r="M7" s="35"/>
      <c r="N7" s="37">
        <f t="shared" si="0"/>
        <v>0.17590086659890841</v>
      </c>
      <c r="O7" s="37">
        <f t="shared" si="1"/>
        <v>0.20016236256711895</v>
      </c>
    </row>
    <row r="8" spans="2:15" x14ac:dyDescent="0.25">
      <c r="B8" t="s">
        <v>127</v>
      </c>
      <c r="C8" s="38"/>
      <c r="D8" s="38">
        <f>IFERROR('FS Analysis'!D32/'FS Analysis'!C32-1,0)</f>
        <v>0.1745663711754748</v>
      </c>
      <c r="E8" s="38">
        <f>IFERROR('FS Analysis'!E32/'FS Analysis'!D32-1,0)</f>
        <v>1.0309109690538771</v>
      </c>
      <c r="F8" s="38">
        <f>IFERROR('FS Analysis'!F32/'FS Analysis'!E32-1,0)</f>
        <v>-0.29225246625008827</v>
      </c>
      <c r="G8" s="38">
        <f>IFERROR('FS Analysis'!G32/'FS Analysis'!F32-1,0)</f>
        <v>-0.97609990480598108</v>
      </c>
      <c r="H8" s="38">
        <f>IFERROR('FS Analysis'!H32/'FS Analysis'!G32-1,0)</f>
        <v>13.267081234256926</v>
      </c>
      <c r="I8" s="38">
        <f>IFERROR('FS Analysis'!I32/'FS Analysis'!H32-1,0)</f>
        <v>2.6288862283378114</v>
      </c>
      <c r="J8" s="38">
        <f>IFERROR('FS Analysis'!J32/'FS Analysis'!I32-1,0)</f>
        <v>0.56317466688560081</v>
      </c>
      <c r="K8" s="38">
        <f>IFERROR('FS Analysis'!K32/'FS Analysis'!J32-1,0)</f>
        <v>9.6011282400428E-2</v>
      </c>
      <c r="L8" s="38">
        <f>IFERROR('FS Analysis'!L32/'FS Analysis'!K32-1,0)</f>
        <v>0.14735229805903827</v>
      </c>
      <c r="M8" s="35"/>
      <c r="N8" s="37">
        <f t="shared" si="0"/>
        <v>1.8488478532347874</v>
      </c>
      <c r="O8" s="37">
        <f t="shared" si="1"/>
        <v>0.1745663711754748</v>
      </c>
    </row>
    <row r="9" spans="2:15" x14ac:dyDescent="0.25">
      <c r="B9" s="36" t="s">
        <v>128</v>
      </c>
      <c r="C9" s="39"/>
      <c r="D9" s="39">
        <f>IFERROR('FS Analysis'!D40/'FS Analysis'!C40-1,0)</f>
        <v>0.24419070512820507</v>
      </c>
      <c r="E9" s="39">
        <f>IFERROR('FS Analysis'!E40/'FS Analysis'!D40-1,0)</f>
        <v>8.1922581922582172E-3</v>
      </c>
      <c r="F9" s="39">
        <f>IFERROR('FS Analysis'!F40/'FS Analysis'!E40-1,0)</f>
        <v>0.13505584877869148</v>
      </c>
      <c r="G9" s="39">
        <f>IFERROR('FS Analysis'!G40/'FS Analysis'!F40-1,0)</f>
        <v>-0.71828533734171063</v>
      </c>
      <c r="H9" s="39">
        <f>IFERROR('FS Analysis'!H40/'FS Analysis'!G40-1,0)</f>
        <v>2.7292618325592106</v>
      </c>
      <c r="I9" s="39">
        <f>IFERROR('FS Analysis'!I40/'FS Analysis'!H40-1,0)</f>
        <v>0.32216858292760753</v>
      </c>
      <c r="J9" s="39">
        <f>IFERROR('FS Analysis'!J40/'FS Analysis'!I40-1,0)</f>
        <v>0.40850401816968662</v>
      </c>
      <c r="K9" s="39">
        <f>IFERROR('FS Analysis'!K40/'FS Analysis'!J40-1,0)</f>
        <v>0.29976901738448092</v>
      </c>
      <c r="L9" s="39">
        <f>IFERROR('FS Analysis'!L40/'FS Analysis'!K40-1,0)</f>
        <v>0.20071084204171519</v>
      </c>
      <c r="M9" s="35"/>
      <c r="N9" s="37">
        <f t="shared" si="0"/>
        <v>0.4032853075377939</v>
      </c>
      <c r="O9" s="37">
        <f t="shared" si="1"/>
        <v>0.24419070512820507</v>
      </c>
    </row>
    <row r="10" spans="2:15" x14ac:dyDescent="0.25"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5"/>
      <c r="N10" s="37"/>
      <c r="O10" s="35"/>
    </row>
    <row r="11" spans="2:15" x14ac:dyDescent="0.25">
      <c r="B11" s="35" t="s">
        <v>129</v>
      </c>
      <c r="C11" s="37">
        <f>IFERROR('FS Analysis'!C12,0)</f>
        <v>0.26064266729183078</v>
      </c>
      <c r="D11" s="37">
        <f>IFERROR('FS Analysis'!D12,0)</f>
        <v>0.24242509971882376</v>
      </c>
      <c r="E11" s="37">
        <f>IFERROR('FS Analysis'!E12,0)</f>
        <v>0.26304170903734708</v>
      </c>
      <c r="F11" s="37">
        <f>IFERROR('FS Analysis'!F12,0)</f>
        <v>0.2698395388570814</v>
      </c>
      <c r="G11" s="37">
        <f>IFERROR('FS Analysis'!G12,0)</f>
        <v>0.33080182478745224</v>
      </c>
      <c r="H11" s="37">
        <f>IFERROR('FS Analysis'!H12,0)</f>
        <v>0.33798492631309129</v>
      </c>
      <c r="I11" s="37">
        <f>IFERROR('FS Analysis'!I12,0)</f>
        <v>0.29183690421386954</v>
      </c>
      <c r="J11" s="37">
        <f>IFERROR('FS Analysis'!J12,0)</f>
        <v>0.27158022422136663</v>
      </c>
      <c r="K11" s="37">
        <f>IFERROR('FS Analysis'!K12,0)</f>
        <v>0.28972685668293108</v>
      </c>
      <c r="L11" s="37">
        <f>IFERROR('FS Analysis'!L12,0)</f>
        <v>0.32875862331467176</v>
      </c>
      <c r="M11" s="35"/>
      <c r="N11" s="37">
        <f t="shared" si="0"/>
        <v>0.28866383744384655</v>
      </c>
      <c r="O11" s="37">
        <f t="shared" si="1"/>
        <v>0.28065354045214885</v>
      </c>
    </row>
    <row r="12" spans="2:15" x14ac:dyDescent="0.25">
      <c r="B12" t="s">
        <v>130</v>
      </c>
      <c r="C12" s="38">
        <f>IFERROR('FS Analysis'!C18,0)</f>
        <v>0.15138521931683244</v>
      </c>
      <c r="D12" s="38">
        <f>IFERROR('FS Analysis'!D18,0)</f>
        <v>0.15293032783216093</v>
      </c>
      <c r="E12" s="38">
        <f>IFERROR('FS Analysis'!E18,0)</f>
        <v>0.191027857964611</v>
      </c>
      <c r="F12" s="38">
        <f>IFERROR('FS Analysis'!F18,0)</f>
        <v>0.17076818064970534</v>
      </c>
      <c r="G12" s="38">
        <f>IFERROR('FS Analysis'!G18,0)</f>
        <v>0.1464865651489686</v>
      </c>
      <c r="H12" s="38">
        <f>IFERROR('FS Analysis'!H18,0)</f>
        <v>0.17015223125946957</v>
      </c>
      <c r="I12" s="38">
        <f>IFERROR('FS Analysis'!I18,0)</f>
        <v>0.1983720408998193</v>
      </c>
      <c r="J12" s="38">
        <f>IFERROR('FS Analysis'!J18,0)</f>
        <v>0.19994252425711379</v>
      </c>
      <c r="K12" s="38">
        <f>IFERROR('FS Analysis'!K18,0)</f>
        <v>0.20269003921317108</v>
      </c>
      <c r="L12" s="38">
        <f>IFERROR('FS Analysis'!L18,0)</f>
        <v>0.21503978184397268</v>
      </c>
      <c r="M12" s="35"/>
      <c r="N12" s="37">
        <f t="shared" si="0"/>
        <v>0.17987947683858246</v>
      </c>
      <c r="O12" s="37">
        <f t="shared" si="1"/>
        <v>0.18089801930715815</v>
      </c>
    </row>
    <row r="13" spans="2:15" x14ac:dyDescent="0.25">
      <c r="B13" t="s">
        <v>131</v>
      </c>
      <c r="C13" s="38">
        <f>IFERROR(('FS Analysis'!C17-'FS Analysis'!C23)/'FS Analysis'!C5,0)</f>
        <v>0.1191910699984257</v>
      </c>
      <c r="D13" s="38">
        <f>IFERROR(('FS Analysis'!D17-'FS Analysis'!D23)/'FS Analysis'!D5,0)</f>
        <v>0.11935485218695045</v>
      </c>
      <c r="E13" s="38">
        <f>IFERROR(('FS Analysis'!E17-'FS Analysis'!E23)/'FS Analysis'!E5,0)</f>
        <v>0.15541314060261274</v>
      </c>
      <c r="F13" s="38">
        <f>IFERROR(('FS Analysis'!F17-'FS Analysis'!F23)/'FS Analysis'!F5,0)</f>
        <v>0.13265947088960828</v>
      </c>
      <c r="G13" s="38">
        <f>IFERROR(('FS Analysis'!G17-'FS Analysis'!G23)/'FS Analysis'!G5,0)</f>
        <v>0.10182493337594288</v>
      </c>
      <c r="H13" s="38">
        <f>IFERROR(('FS Analysis'!H17-'FS Analysis'!H23)/'FS Analysis'!H5,0)</f>
        <v>0.12467281601577219</v>
      </c>
      <c r="I13" s="38">
        <f>IFERROR(('FS Analysis'!I17-'FS Analysis'!I23)/'FS Analysis'!I5,0)</f>
        <v>0.15947353998094965</v>
      </c>
      <c r="J13" s="38">
        <f>IFERROR(('FS Analysis'!J17-'FS Analysis'!J23)/'FS Analysis'!J5,0)</f>
        <v>0.16401556710292994</v>
      </c>
      <c r="K13" s="38">
        <f>IFERROR(('FS Analysis'!K17-'FS Analysis'!K23)/'FS Analysis'!K5,0)</f>
        <v>0.16872513585335794</v>
      </c>
      <c r="L13" s="38">
        <f>IFERROR(('FS Analysis'!L17-'FS Analysis'!L23)/'FS Analysis'!L5,0)</f>
        <v>0.1768913067591763</v>
      </c>
      <c r="M13" s="35"/>
      <c r="N13" s="37">
        <f t="shared" si="0"/>
        <v>0.1422221832765726</v>
      </c>
      <c r="O13" s="37">
        <f t="shared" si="1"/>
        <v>0.14403630574611051</v>
      </c>
    </row>
    <row r="14" spans="2:15" x14ac:dyDescent="0.25">
      <c r="B14" t="s">
        <v>132</v>
      </c>
      <c r="C14" s="38">
        <f>IFERROR('FS Analysis'!C27,0)</f>
        <v>7.4788024802278266E-2</v>
      </c>
      <c r="D14" s="38">
        <f>IFERROR('FS Analysis'!D27,0)</f>
        <v>7.5803137166427739E-2</v>
      </c>
      <c r="E14" s="38">
        <f>IFERROR('FS Analysis'!E27,0)</f>
        <v>0.11211941718212746</v>
      </c>
      <c r="F14" s="38">
        <f>IFERROR('FS Analysis'!F27,0)</f>
        <v>8.4709533971704387E-2</v>
      </c>
      <c r="G14" s="38">
        <f>IFERROR('FS Analysis'!G27,0)</f>
        <v>2.194969006497963E-2</v>
      </c>
      <c r="H14" s="38">
        <f>IFERROR('FS Analysis'!H27,0)</f>
        <v>4.251877210115871E-2</v>
      </c>
      <c r="I14" s="38">
        <f>IFERROR('FS Analysis'!I27,0)</f>
        <v>0.10382289920092577</v>
      </c>
      <c r="J14" s="38">
        <f>IFERROR('FS Analysis'!J27,0)</f>
        <v>0.11594292172207894</v>
      </c>
      <c r="K14" s="38">
        <f>IFERROR('FS Analysis'!K27,0)</f>
        <v>0.11488343937554006</v>
      </c>
      <c r="L14" s="38">
        <f>IFERROR('FS Analysis'!L27,0)</f>
        <v>0.11983871447932999</v>
      </c>
      <c r="M14" s="35"/>
      <c r="N14" s="37">
        <f t="shared" si="0"/>
        <v>8.6637655006655101E-2</v>
      </c>
      <c r="O14" s="37">
        <f t="shared" si="1"/>
        <v>9.426621658631508E-2</v>
      </c>
    </row>
    <row r="15" spans="2:15" x14ac:dyDescent="0.25">
      <c r="B15" s="36" t="s">
        <v>133</v>
      </c>
      <c r="C15" s="39">
        <f>IFERROR('FS Analysis'!C33,0)</f>
        <v>4.1513331369586695E-2</v>
      </c>
      <c r="D15" s="39">
        <f>IFERROR('FS Analysis'!D33,0)</f>
        <v>4.4143552132815983E-2</v>
      </c>
      <c r="E15" s="39">
        <f>IFERROR('FS Analysis'!E33,0)</f>
        <v>8.1551393984078221E-2</v>
      </c>
      <c r="F15" s="39">
        <f>IFERROR('FS Analysis'!F33,0)</f>
        <v>5.0758455731952853E-2</v>
      </c>
      <c r="G15" s="39">
        <f>IFERROR('FS Analysis'!G33,0)</f>
        <v>1.6852845237578823E-3</v>
      </c>
      <c r="H15" s="39">
        <f>IFERROR('FS Analysis'!H33,0)</f>
        <v>2.4401510115138067E-2</v>
      </c>
      <c r="I15" s="39">
        <f>IFERROR('FS Analysis'!I33,0)</f>
        <v>7.2943089968267913E-2</v>
      </c>
      <c r="J15" s="39">
        <f>IFERROR('FS Analysis'!J33,0)</f>
        <v>8.4782905378187501E-2</v>
      </c>
      <c r="K15" s="39">
        <f>IFERROR('FS Analysis'!K33,0)</f>
        <v>8.1023728581035709E-2</v>
      </c>
      <c r="L15" s="39">
        <f>IFERROR('FS Analysis'!L33,0)</f>
        <v>8.1207420450444254E-2</v>
      </c>
      <c r="M15" s="35"/>
      <c r="N15" s="37">
        <f t="shared" si="0"/>
        <v>5.6401067223526516E-2</v>
      </c>
      <c r="O15" s="37">
        <f t="shared" si="1"/>
        <v>6.1850772850110383E-2</v>
      </c>
    </row>
    <row r="16" spans="2:15" x14ac:dyDescent="0.25"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5"/>
      <c r="N16" s="37"/>
      <c r="O16" s="35"/>
    </row>
    <row r="17" spans="2:15" x14ac:dyDescent="0.25">
      <c r="B17" s="35" t="s">
        <v>134</v>
      </c>
      <c r="C17" s="37">
        <f>IFERROR('FS Analysis'!C15,0)</f>
        <v>0.10925744797499835</v>
      </c>
      <c r="D17" s="37">
        <f>IFERROR('FS Analysis'!D15,0)</f>
        <v>8.9494771886662827E-2</v>
      </c>
      <c r="E17" s="37">
        <f>IFERROR('FS Analysis'!E15,0)</f>
        <v>7.2013851072736057E-2</v>
      </c>
      <c r="F17" s="37">
        <f>IFERROR('FS Analysis'!F15,0)</f>
        <v>9.9071358207376045E-2</v>
      </c>
      <c r="G17" s="37">
        <f>IFERROR('FS Analysis'!G15,0)</f>
        <v>0.18431525963848366</v>
      </c>
      <c r="H17" s="37">
        <f>IFERROR('FS Analysis'!H15,0)</f>
        <v>0.16783269505362169</v>
      </c>
      <c r="I17" s="37">
        <f>IFERROR('FS Analysis'!I15,0)</f>
        <v>9.3464863314050253E-2</v>
      </c>
      <c r="J17" s="37">
        <f>IFERROR('FS Analysis'!J15,0)</f>
        <v>7.1637699964252871E-2</v>
      </c>
      <c r="K17" s="37">
        <f>IFERROR('FS Analysis'!K15,0)</f>
        <v>8.7036817469760025E-2</v>
      </c>
      <c r="L17" s="37">
        <f>IFERROR('FS Analysis'!L15,0)</f>
        <v>0.11371884147069904</v>
      </c>
      <c r="M17" s="35"/>
      <c r="N17" s="37">
        <f t="shared" si="0"/>
        <v>0.10878436060526409</v>
      </c>
      <c r="O17" s="37">
        <f t="shared" si="1"/>
        <v>9.6268110760713149E-2</v>
      </c>
    </row>
    <row r="18" spans="2:15" x14ac:dyDescent="0.25">
      <c r="B18" t="s">
        <v>65</v>
      </c>
      <c r="C18" s="38">
        <f>IFERROR('FS Analysis'!C24,0)</f>
        <v>3.2194149318406751E-2</v>
      </c>
      <c r="D18" s="38">
        <f>IFERROR('FS Analysis'!D24,0)</f>
        <v>3.3575475645210476E-2</v>
      </c>
      <c r="E18" s="38">
        <f>IFERROR('FS Analysis'!E24,0)</f>
        <v>3.5614717361998269E-2</v>
      </c>
      <c r="F18" s="38">
        <f>IFERROR('FS Analysis'!F24,0)</f>
        <v>3.8108709760097052E-2</v>
      </c>
      <c r="G18" s="38">
        <f>IFERROR('FS Analysis'!G24,0)</f>
        <v>4.4661631773025713E-2</v>
      </c>
      <c r="H18" s="38">
        <f>IFERROR('FS Analysis'!H24,0)</f>
        <v>4.5479415243697377E-2</v>
      </c>
      <c r="I18" s="38">
        <f>IFERROR('FS Analysis'!I24,0)</f>
        <v>3.8898500918869643E-2</v>
      </c>
      <c r="J18" s="38">
        <f>IFERROR('FS Analysis'!J24,0)</f>
        <v>3.5926957154183835E-2</v>
      </c>
      <c r="K18" s="38">
        <f>IFERROR('FS Analysis'!K24,0)</f>
        <v>3.3964903359813149E-2</v>
      </c>
      <c r="L18" s="38">
        <f>IFERROR('FS Analysis'!L24,0)</f>
        <v>3.8148475084796366E-2</v>
      </c>
      <c r="M18" s="35"/>
      <c r="N18" s="37">
        <f t="shared" si="0"/>
        <v>3.7657293562009864E-2</v>
      </c>
      <c r="O18" s="37">
        <f t="shared" si="1"/>
        <v>3.7017833457140444E-2</v>
      </c>
    </row>
    <row r="19" spans="2:15" x14ac:dyDescent="0.25">
      <c r="B19" s="36" t="s">
        <v>135</v>
      </c>
      <c r="C19" s="39">
        <f>C13</f>
        <v>0.1191910699984257</v>
      </c>
      <c r="D19" s="39">
        <f t="shared" ref="D19:L19" si="2">D13</f>
        <v>0.11935485218695045</v>
      </c>
      <c r="E19" s="39">
        <f t="shared" si="2"/>
        <v>0.15541314060261274</v>
      </c>
      <c r="F19" s="39">
        <f t="shared" si="2"/>
        <v>0.13265947088960828</v>
      </c>
      <c r="G19" s="39">
        <f t="shared" si="2"/>
        <v>0.10182493337594288</v>
      </c>
      <c r="H19" s="39">
        <f t="shared" si="2"/>
        <v>0.12467281601577219</v>
      </c>
      <c r="I19" s="39">
        <f t="shared" si="2"/>
        <v>0.15947353998094965</v>
      </c>
      <c r="J19" s="39">
        <f t="shared" si="2"/>
        <v>0.16401556710292994</v>
      </c>
      <c r="K19" s="39">
        <f t="shared" si="2"/>
        <v>0.16872513585335794</v>
      </c>
      <c r="L19" s="39">
        <f t="shared" si="2"/>
        <v>0.1768913067591763</v>
      </c>
      <c r="M19" s="35"/>
      <c r="N19" s="37">
        <f t="shared" si="0"/>
        <v>0.1422221832765726</v>
      </c>
      <c r="O19" s="37">
        <f t="shared" si="1"/>
        <v>0.14403630574611051</v>
      </c>
    </row>
    <row r="20" spans="2:15" x14ac:dyDescent="0.25"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5"/>
      <c r="N20" s="37"/>
      <c r="O20" s="35"/>
    </row>
    <row r="21" spans="2:15" x14ac:dyDescent="0.25">
      <c r="B21" s="35" t="s">
        <v>136</v>
      </c>
      <c r="C21" s="37">
        <f>IFERROR(('FS Analysis'!C17-'FS Analysis'!C23)/SUM('FS Analysis'!C46:C48),0)</f>
        <v>0.13284654197965542</v>
      </c>
      <c r="D21" s="37">
        <f>IFERROR(('FS Analysis'!D17-'FS Analysis'!D23)/SUM('FS Analysis'!D46:D48),0)</f>
        <v>0.12730807251784973</v>
      </c>
      <c r="E21" s="37">
        <f>IFERROR(('FS Analysis'!E17-'FS Analysis'!E23)/SUM('FS Analysis'!E46:E48),0)</f>
        <v>0.15444188718820367</v>
      </c>
      <c r="F21" s="37">
        <f>IFERROR(('FS Analysis'!F17-'FS Analysis'!F23)/SUM('FS Analysis'!F46:F48),0)</f>
        <v>0.12534490354791047</v>
      </c>
      <c r="G21" s="37">
        <f>IFERROR(('FS Analysis'!G17-'FS Analysis'!G23)/SUM('FS Analysis'!G46:G48),0)</f>
        <v>6.2884319301427988E-2</v>
      </c>
      <c r="H21" s="37">
        <f>IFERROR(('FS Analysis'!H17-'FS Analysis'!H23)/SUM('FS Analysis'!H46:H48),0)</f>
        <v>7.5776665364229098E-2</v>
      </c>
      <c r="I21" s="37">
        <f>IFERROR(('FS Analysis'!I17-'FS Analysis'!I23)/SUM('FS Analysis'!I46:I48),0)</f>
        <v>0.11528956844842608</v>
      </c>
      <c r="J21" s="37">
        <f>IFERROR(('FS Analysis'!J17-'FS Analysis'!J23)/SUM('FS Analysis'!J46:J48),0)</f>
        <v>0.1338374044092078</v>
      </c>
      <c r="K21" s="37">
        <f>IFERROR(('FS Analysis'!K17-'FS Analysis'!K23)/SUM('FS Analysis'!K46:K48),0)</f>
        <v>0.1342158274698034</v>
      </c>
      <c r="L21" s="37">
        <f>IFERROR(('FS Analysis'!L17-'FS Analysis'!L23)/SUM('FS Analysis'!L46:L48),0)</f>
        <v>0.13942900715423087</v>
      </c>
      <c r="M21" s="35"/>
      <c r="N21" s="37">
        <f t="shared" si="0"/>
        <v>0.12013741973809444</v>
      </c>
      <c r="O21" s="37">
        <f t="shared" si="1"/>
        <v>0.13007730724875258</v>
      </c>
    </row>
    <row r="22" spans="2:15" x14ac:dyDescent="0.25">
      <c r="B22" t="s">
        <v>137</v>
      </c>
      <c r="C22" s="38">
        <f>IFERROR('FS Analysis'!C43,0)</f>
        <v>0.79387821866771691</v>
      </c>
      <c r="D22" s="38">
        <f>IFERROR('FS Analysis'!D43,0)</f>
        <v>0.78166001449416456</v>
      </c>
      <c r="E22" s="38">
        <f>IFERROR('FS Analysis'!E43,0)</f>
        <v>0.89152360929325902</v>
      </c>
      <c r="F22" s="38">
        <f>IFERROR('FS Analysis'!F43,0)</f>
        <v>0.82603010840077806</v>
      </c>
      <c r="G22" s="38">
        <f>IFERROR('FS Analysis'!G43,0)</f>
        <v>0</v>
      </c>
      <c r="H22" s="38">
        <f>IFERROR('FS Analysis'!H43,0)</f>
        <v>0.46399152547048539</v>
      </c>
      <c r="I22" s="38">
        <f>IFERROR('FS Analysis'!I43,0)</f>
        <v>0.80470769249481555</v>
      </c>
      <c r="J22" s="38">
        <f>IFERROR('FS Analysis'!J43,0)</f>
        <v>0.82398871759957204</v>
      </c>
      <c r="K22" s="38">
        <f>IFERROR('FS Analysis'!K43,0)</f>
        <v>0.79126673671356973</v>
      </c>
      <c r="L22" s="38">
        <f>IFERROR('FS Analysis'!L43,0)</f>
        <v>0.78155942795708899</v>
      </c>
      <c r="M22" s="35"/>
      <c r="N22" s="37">
        <f t="shared" si="0"/>
        <v>0.69586060510914494</v>
      </c>
      <c r="O22" s="37">
        <f t="shared" si="1"/>
        <v>0.79257247769064332</v>
      </c>
    </row>
    <row r="23" spans="2:15" x14ac:dyDescent="0.25">
      <c r="B23" t="s">
        <v>138</v>
      </c>
      <c r="C23" s="38">
        <f>IFERROR('FS Analysis'!C32/SUM('FS Analysis'!C46:C47),0)</f>
        <v>0.11884164098344256</v>
      </c>
      <c r="D23" s="38">
        <f>IFERROR('FS Analysis'!D32/SUM('FS Analysis'!D46:D47),0)</f>
        <v>0.12418844334593228</v>
      </c>
      <c r="E23" s="38">
        <f>IFERROR('FS Analysis'!E32/SUM('FS Analysis'!E46:E47),0)</f>
        <v>0.20422436974492861</v>
      </c>
      <c r="F23" s="38">
        <f>IFERROR('FS Analysis'!F32/SUM('FS Analysis'!F46:F47),0)</f>
        <v>0.13294163754417146</v>
      </c>
      <c r="G23" s="38">
        <f>IFERROR('FS Analysis'!G32/SUM('FS Analysis'!G46:G47),0)</f>
        <v>3.1784386570596294E-3</v>
      </c>
      <c r="H23" s="38">
        <f>IFERROR('FS Analysis'!H32/SUM('FS Analysis'!H46:H47),0)</f>
        <v>4.3588415349748159E-2</v>
      </c>
      <c r="I23" s="38">
        <f>IFERROR('FS Analysis'!I32/SUM('FS Analysis'!I46:I47),0)</f>
        <v>0.13957876723375431</v>
      </c>
      <c r="J23" s="38">
        <f>IFERROR('FS Analysis'!J32/SUM('FS Analysis'!J46:J47),0)</f>
        <v>0.18240673997472581</v>
      </c>
      <c r="K23" s="38">
        <f>IFERROR('FS Analysis'!K32/SUM('FS Analysis'!K46:K47),0)</f>
        <v>0.1702454504457207</v>
      </c>
      <c r="L23" s="38">
        <f>IFERROR('FS Analysis'!L32/SUM('FS Analysis'!L46:L47),0)</f>
        <v>0.1678256921247277</v>
      </c>
      <c r="M23" s="35"/>
      <c r="N23" s="37">
        <f t="shared" si="0"/>
        <v>0.1287019595404211</v>
      </c>
      <c r="O23" s="37">
        <f t="shared" si="1"/>
        <v>0.13626020238896289</v>
      </c>
    </row>
    <row r="24" spans="2:15" x14ac:dyDescent="0.25">
      <c r="B24" t="s">
        <v>139</v>
      </c>
      <c r="C24" s="38">
        <f>IFERROR(C22*C23,0)</f>
        <v>9.4345790247483727E-2</v>
      </c>
      <c r="D24" s="38">
        <f t="shared" ref="D24:L24" si="3">IFERROR(D22*D23,0)</f>
        <v>9.7073140425789156E-2</v>
      </c>
      <c r="E24" s="38">
        <f t="shared" si="3"/>
        <v>0.18207084722063979</v>
      </c>
      <c r="F24" s="38">
        <f t="shared" si="3"/>
        <v>0.1098137952715889</v>
      </c>
      <c r="G24" s="38">
        <f t="shared" si="3"/>
        <v>0</v>
      </c>
      <c r="H24" s="38">
        <f t="shared" si="3"/>
        <v>2.0224655330970769E-2</v>
      </c>
      <c r="I24" s="38">
        <f t="shared" si="3"/>
        <v>0.11232010770194541</v>
      </c>
      <c r="J24" s="38">
        <f t="shared" si="3"/>
        <v>0.15030109575329292</v>
      </c>
      <c r="K24" s="38">
        <f t="shared" si="3"/>
        <v>0.13470956201451717</v>
      </c>
      <c r="L24" s="38">
        <f t="shared" si="3"/>
        <v>0.13116575193350472</v>
      </c>
      <c r="M24" s="35"/>
      <c r="N24" s="37">
        <f t="shared" si="0"/>
        <v>0.10320247458997327</v>
      </c>
      <c r="O24" s="37">
        <f t="shared" si="1"/>
        <v>0.11106695148676715</v>
      </c>
    </row>
    <row r="25" spans="2:15" x14ac:dyDescent="0.25">
      <c r="B25" s="36" t="s">
        <v>140</v>
      </c>
      <c r="C25" s="40">
        <f>IFERROR(('FS Analysis'!C17-'FS Analysis'!C23)/'FS Analysis'!C20,0)</f>
        <v>2.6842994545060419</v>
      </c>
      <c r="D25" s="40">
        <f>IFERROR(('FS Analysis'!D17-'FS Analysis'!D23)/'FS Analysis'!D20,0)</f>
        <v>2.7405316215608804</v>
      </c>
      <c r="E25" s="40">
        <f>IFERROR(('FS Analysis'!E17-'FS Analysis'!E23)/'FS Analysis'!E20,0)</f>
        <v>3.5897383806234591</v>
      </c>
      <c r="F25" s="40">
        <f>IFERROR(('FS Analysis'!F17-'FS Analysis'!F23)/'FS Analysis'!F20,0)</f>
        <v>2.7666245133280856</v>
      </c>
      <c r="G25" s="40">
        <f>IFERROR(('FS Analysis'!G17-'FS Analysis'!G23)/'FS Analysis'!G20,0)</f>
        <v>1.274799664515913</v>
      </c>
      <c r="H25" s="40">
        <f>IFERROR(('FS Analysis'!H17-'FS Analysis'!H23)/'FS Analysis'!H20,0)</f>
        <v>1.5175493508919711</v>
      </c>
      <c r="I25" s="40">
        <f>IFERROR(('FS Analysis'!I17-'FS Analysis'!I23)/'FS Analysis'!I20,0)</f>
        <v>2.8656191149948729</v>
      </c>
      <c r="J25" s="40">
        <f>IFERROR(('FS Analysis'!J17-'FS Analysis'!J23)/'FS Analysis'!J20,0)</f>
        <v>3.4118273667598702</v>
      </c>
      <c r="K25" s="40">
        <f>IFERROR(('FS Analysis'!K17-'FS Analysis'!K23)/'FS Analysis'!K20,0)</f>
        <v>3.1337262176140883</v>
      </c>
      <c r="L25" s="40">
        <f>IFERROR(('FS Analysis'!L17-'FS Analysis'!L23)/'FS Analysis'!L20,0)</f>
        <v>3.1004955198444639</v>
      </c>
      <c r="M25" s="35"/>
      <c r="N25" s="42">
        <f t="shared" si="0"/>
        <v>2.7085211204639643</v>
      </c>
      <c r="O25" s="42">
        <f t="shared" si="1"/>
        <v>2.8161218141614794</v>
      </c>
    </row>
    <row r="26" spans="2:15" x14ac:dyDescent="0.25"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35"/>
      <c r="N26" s="35"/>
      <c r="O26" s="35"/>
    </row>
    <row r="27" spans="2:15" x14ac:dyDescent="0.25">
      <c r="B27" s="35" t="s">
        <v>141</v>
      </c>
      <c r="C27" s="42">
        <f>IFERROR('FS Analysis'!C5/'FS Analysis'!C58,0)</f>
        <v>13.036547717271725</v>
      </c>
      <c r="D27" s="42">
        <f>IFERROR('FS Analysis'!D5/'FS Analysis'!D58,0)</f>
        <v>11.636341790684043</v>
      </c>
      <c r="E27" s="42">
        <f>IFERROR('FS Analysis'!E5/'FS Analysis'!E58,0)</f>
        <v>10.847573917939368</v>
      </c>
      <c r="F27" s="42">
        <f>IFERROR('FS Analysis'!F5/'FS Analysis'!F58,0)</f>
        <v>12.067527935938344</v>
      </c>
      <c r="G27" s="42">
        <f>IFERROR('FS Analysis'!G5/'FS Analysis'!G58,0)</f>
        <v>10.880323832177682</v>
      </c>
      <c r="H27" s="42">
        <f>IFERROR('FS Analysis'!H5/'FS Analysis'!H58,0)</f>
        <v>12.363639692664155</v>
      </c>
      <c r="I27" s="42">
        <f>IFERROR('FS Analysis'!I5/'FS Analysis'!I58,0)</f>
        <v>14.14673318742695</v>
      </c>
      <c r="J27" s="42">
        <f>IFERROR('FS Analysis'!J5/'FS Analysis'!J58,0)</f>
        <v>17.255009234464328</v>
      </c>
      <c r="K27" s="42">
        <f>IFERROR('FS Analysis'!K5/'FS Analysis'!K58,0)</f>
        <v>18.644699305574175</v>
      </c>
      <c r="L27" s="42">
        <f>IFERROR('FS Analysis'!L5/'FS Analysis'!L58,0)</f>
        <v>19.22905660833122</v>
      </c>
      <c r="M27" s="35"/>
      <c r="N27" s="42">
        <f t="shared" si="0"/>
        <v>14.010745322247198</v>
      </c>
      <c r="O27" s="42">
        <f t="shared" si="1"/>
        <v>12.700093704967941</v>
      </c>
    </row>
    <row r="28" spans="2:15" x14ac:dyDescent="0.25">
      <c r="B28" t="s">
        <v>142</v>
      </c>
      <c r="C28" s="41">
        <f>IFERROR('FS Analysis'!C5/'FS Analysis'!C49,0)</f>
        <v>2.3844824160290559</v>
      </c>
      <c r="D28" s="41">
        <f>IFERROR('FS Analysis'!D5/'FS Analysis'!D49,0)</f>
        <v>2.3734485458942567</v>
      </c>
      <c r="E28" s="41">
        <f>IFERROR('FS Analysis'!E5/'FS Analysis'!E49,0)</f>
        <v>2.1075963127228454</v>
      </c>
      <c r="F28" s="41">
        <f>IFERROR('FS Analysis'!F5/'FS Analysis'!F49,0)</f>
        <v>2.0510563204421728</v>
      </c>
      <c r="G28" s="41">
        <f>IFERROR('FS Analysis'!G5/'FS Analysis'!G49,0)</f>
        <v>1.7267832853123637</v>
      </c>
      <c r="H28" s="41">
        <f>IFERROR('FS Analysis'!H5/'FS Analysis'!H49,0)</f>
        <v>1.7370214103407777</v>
      </c>
      <c r="I28" s="41">
        <f>IFERROR('FS Analysis'!I5/'FS Analysis'!I49,0)</f>
        <v>1.8919294831122706</v>
      </c>
      <c r="J28" s="41">
        <f>IFERROR('FS Analysis'!J5/'FS Analysis'!J49,0)</f>
        <v>2.178327332847259</v>
      </c>
      <c r="K28" s="41">
        <f>IFERROR('FS Analysis'!K5/'FS Analysis'!K49,0)</f>
        <v>2.3224635853953495</v>
      </c>
      <c r="L28" s="41">
        <f>IFERROR('FS Analysis'!L5/'FS Analysis'!L49,0)</f>
        <v>2.1060161564907052</v>
      </c>
      <c r="M28" s="35"/>
      <c r="N28" s="42">
        <f t="shared" si="0"/>
        <v>2.0879124848587063</v>
      </c>
      <c r="O28" s="42">
        <f t="shared" si="1"/>
        <v>2.1068062346067755</v>
      </c>
    </row>
    <row r="29" spans="2:15" x14ac:dyDescent="0.25">
      <c r="B29" t="s">
        <v>143</v>
      </c>
      <c r="C29" s="41">
        <f>IFERROR('FS Analysis'!C5/'FS Analysis'!C59,0)</f>
        <v>8.319484605292601</v>
      </c>
      <c r="D29" s="41">
        <f>IFERROR('FS Analysis'!D5/'FS Analysis'!D59,0)</f>
        <v>9.4275214635139957</v>
      </c>
      <c r="E29" s="41">
        <f>IFERROR('FS Analysis'!E5/'FS Analysis'!E59,0)</f>
        <v>9.8648448889569682</v>
      </c>
      <c r="F29" s="41">
        <f>IFERROR('FS Analysis'!F5/'FS Analysis'!F59,0)</f>
        <v>8.5835497239380469</v>
      </c>
      <c r="G29" s="41">
        <f>IFERROR('FS Analysis'!G5/'FS Analysis'!G59,0)</f>
        <v>6.7839164640303231</v>
      </c>
      <c r="H29" s="41">
        <f>IFERROR('FS Analysis'!H5/'FS Analysis'!H59,0)</f>
        <v>7.7248687263465623</v>
      </c>
      <c r="I29" s="41">
        <f>IFERROR('FS Analysis'!I5/'FS Analysis'!I59,0)</f>
        <v>7.7761270871745172</v>
      </c>
      <c r="J29" s="41">
        <f>IFERROR('FS Analysis'!J5/'FS Analysis'!J59,0)</f>
        <v>7.1948244345733032</v>
      </c>
      <c r="K29" s="41">
        <f>IFERROR('FS Analysis'!K5/'FS Analysis'!K59,0)</f>
        <v>7.4811594327631301</v>
      </c>
      <c r="L29" s="41">
        <f>IFERROR('FS Analysis'!L5/'FS Analysis'!L59,0)</f>
        <v>7.8309659223655785</v>
      </c>
      <c r="M29" s="35"/>
      <c r="N29" s="42">
        <f t="shared" si="0"/>
        <v>8.0987262748955029</v>
      </c>
      <c r="O29" s="42">
        <f t="shared" si="1"/>
        <v>7.8035465047700479</v>
      </c>
    </row>
    <row r="30" spans="2:15" x14ac:dyDescent="0.25">
      <c r="B30" t="s">
        <v>144</v>
      </c>
      <c r="C30" s="41">
        <f>IFERROR('FS Analysis'!C5/'FS Analysis'!C52,0)</f>
        <v>3.6843569814682842</v>
      </c>
      <c r="D30" s="41">
        <f>IFERROR('FS Analysis'!D5/'FS Analysis'!D52,0)</f>
        <v>3.9912816278614383</v>
      </c>
      <c r="E30" s="41">
        <f>IFERROR('FS Analysis'!E5/'FS Analysis'!E52,0)</f>
        <v>3.5174662648623665</v>
      </c>
      <c r="F30" s="41">
        <f>IFERROR('FS Analysis'!F5/'FS Analysis'!F52,0)</f>
        <v>3.6132084130071895</v>
      </c>
      <c r="G30" s="41">
        <f>IFERROR('FS Analysis'!G5/'FS Analysis'!G52,0)</f>
        <v>2.5390294203932933</v>
      </c>
      <c r="H30" s="41">
        <f>IFERROR('FS Analysis'!H5/'FS Analysis'!H52,0)</f>
        <v>3.4742231876248848</v>
      </c>
      <c r="I30" s="41">
        <f>IFERROR('FS Analysis'!I5/'FS Analysis'!I52,0)</f>
        <v>3.4656342470297083</v>
      </c>
      <c r="J30" s="41">
        <f>IFERROR('FS Analysis'!J5/'FS Analysis'!J52,0)</f>
        <v>4.4682623200164482</v>
      </c>
      <c r="K30" s="41">
        <f>IFERROR('FS Analysis'!K5/'FS Analysis'!K52,0)</f>
        <v>4.944229900307187</v>
      </c>
      <c r="L30" s="41">
        <f>IFERROR('FS Analysis'!L5/'FS Analysis'!L52,0)</f>
        <v>4.0530800296526808</v>
      </c>
      <c r="M30" s="35"/>
      <c r="N30" s="42">
        <f t="shared" si="0"/>
        <v>3.7750772392223482</v>
      </c>
      <c r="O30" s="42">
        <f t="shared" si="1"/>
        <v>3.6487826972377366</v>
      </c>
    </row>
    <row r="31" spans="2:15" x14ac:dyDescent="0.25">
      <c r="B31" s="36" t="s">
        <v>145</v>
      </c>
      <c r="C31" s="40">
        <f>IFERROR('FS Analysis'!C5/SUM('FS Analysis'!C46:C47),0)</f>
        <v>2.8627343810453088</v>
      </c>
      <c r="D31" s="40">
        <f>IFERROR('FS Analysis'!D5/SUM('FS Analysis'!D46:D47),0)</f>
        <v>2.8132861391009705</v>
      </c>
      <c r="E31" s="40">
        <f>IFERROR('FS Analysis'!E5/SUM('FS Analysis'!E46:E47),0)</f>
        <v>2.5042413105139638</v>
      </c>
      <c r="F31" s="40">
        <f>IFERROR('FS Analysis'!F5/SUM('FS Analysis'!F46:F47),0)</f>
        <v>2.6191032730825112</v>
      </c>
      <c r="G31" s="40">
        <f>IFERROR('FS Analysis'!G5/SUM('FS Analysis'!G46:G47),0)</f>
        <v>1.8859952798784867</v>
      </c>
      <c r="H31" s="40">
        <f>IFERROR('FS Analysis'!H5/SUM('FS Analysis'!H46:H47),0)</f>
        <v>1.7862999111152156</v>
      </c>
      <c r="I31" s="40">
        <f>IFERROR('FS Analysis'!I5/SUM('FS Analysis'!I46:I47),0)</f>
        <v>1.9135296749078576</v>
      </c>
      <c r="J31" s="40">
        <f>IFERROR('FS Analysis'!J5/SUM('FS Analysis'!J46:J47),0)</f>
        <v>2.1514565838605297</v>
      </c>
      <c r="K31" s="40">
        <f>IFERROR('FS Analysis'!K5/SUM('FS Analysis'!K46:K47),0)</f>
        <v>2.1011801533602603</v>
      </c>
      <c r="L31" s="40">
        <f>IFERROR('FS Analysis'!L5/SUM('FS Analysis'!L46:L47),0)</f>
        <v>2.0666300098417865</v>
      </c>
      <c r="M31" s="35"/>
      <c r="N31" s="42">
        <f t="shared" si="0"/>
        <v>2.2704456716706889</v>
      </c>
      <c r="O31" s="42">
        <f t="shared" si="1"/>
        <v>2.126318368610395</v>
      </c>
    </row>
    <row r="32" spans="2:15" x14ac:dyDescent="0.25">
      <c r="M32" s="35"/>
      <c r="N32" s="35"/>
      <c r="O32" s="35"/>
    </row>
    <row r="33" spans="2:15" x14ac:dyDescent="0.25">
      <c r="B33" s="35" t="s">
        <v>146</v>
      </c>
      <c r="C33" s="43">
        <f>IFERROR(365/C27,0)</f>
        <v>27.998209949128068</v>
      </c>
      <c r="D33" s="43">
        <f t="shared" ref="D33:L33" si="4">IFERROR(365/D27,0)</f>
        <v>31.367246387710605</v>
      </c>
      <c r="E33" s="43">
        <f t="shared" si="4"/>
        <v>33.648076773772871</v>
      </c>
      <c r="F33" s="43">
        <f t="shared" si="4"/>
        <v>30.24645991603569</v>
      </c>
      <c r="G33" s="43">
        <f t="shared" si="4"/>
        <v>33.546795631260707</v>
      </c>
      <c r="H33" s="43">
        <f t="shared" si="4"/>
        <v>29.522050874433781</v>
      </c>
      <c r="I33" s="43">
        <f t="shared" si="4"/>
        <v>25.801009686419857</v>
      </c>
      <c r="J33" s="43">
        <f t="shared" si="4"/>
        <v>21.153277581038118</v>
      </c>
      <c r="K33" s="43">
        <f t="shared" si="4"/>
        <v>19.576609631396767</v>
      </c>
      <c r="L33" s="43">
        <f t="shared" si="4"/>
        <v>18.981690440385897</v>
      </c>
      <c r="M33" s="35"/>
      <c r="N33" s="43">
        <f t="shared" si="0"/>
        <v>27.184142687158232</v>
      </c>
      <c r="O33" s="43">
        <f t="shared" si="1"/>
        <v>28.760130411780924</v>
      </c>
    </row>
    <row r="34" spans="2:15" x14ac:dyDescent="0.25">
      <c r="B34" t="s">
        <v>147</v>
      </c>
      <c r="C34" s="44">
        <f>IFERROR(365/C28,0)</f>
        <v>153.07305163853735</v>
      </c>
      <c r="D34" s="44">
        <f t="shared" ref="D34:L34" si="5">IFERROR(365/D28,0)</f>
        <v>153.78466941337336</v>
      </c>
      <c r="E34" s="44">
        <f t="shared" si="5"/>
        <v>173.1830701148121</v>
      </c>
      <c r="F34" s="44">
        <f t="shared" si="5"/>
        <v>177.95708307088915</v>
      </c>
      <c r="G34" s="44">
        <f t="shared" si="5"/>
        <v>211.37568512772228</v>
      </c>
      <c r="H34" s="44">
        <f t="shared" si="5"/>
        <v>210.12982213523347</v>
      </c>
      <c r="I34" s="44">
        <f t="shared" si="5"/>
        <v>192.92473808250296</v>
      </c>
      <c r="J34" s="44">
        <f t="shared" si="5"/>
        <v>167.55975766181751</v>
      </c>
      <c r="K34" s="44">
        <f t="shared" si="5"/>
        <v>157.1606987921262</v>
      </c>
      <c r="L34" s="44">
        <f t="shared" si="5"/>
        <v>173.31301038459574</v>
      </c>
      <c r="M34" s="35"/>
      <c r="N34" s="43">
        <f t="shared" si="0"/>
        <v>177.046158642161</v>
      </c>
      <c r="O34" s="43">
        <f t="shared" si="1"/>
        <v>173.24804024970393</v>
      </c>
    </row>
    <row r="35" spans="2:15" x14ac:dyDescent="0.25">
      <c r="B35" t="s">
        <v>148</v>
      </c>
      <c r="C35" s="44">
        <f>IFERROR(365/C29,0)</f>
        <v>43.87291008000642</v>
      </c>
      <c r="D35" s="44">
        <f t="shared" ref="D35:L35" si="6">IFERROR(365/D29,0)</f>
        <v>38.71643267136627</v>
      </c>
      <c r="E35" s="44">
        <f t="shared" si="6"/>
        <v>37.000074923488455</v>
      </c>
      <c r="F35" s="44">
        <f t="shared" si="6"/>
        <v>42.523199811154775</v>
      </c>
      <c r="G35" s="44">
        <f t="shared" si="6"/>
        <v>53.803728559351036</v>
      </c>
      <c r="H35" s="44">
        <f t="shared" si="6"/>
        <v>47.249993874345734</v>
      </c>
      <c r="I35" s="44">
        <f t="shared" si="6"/>
        <v>46.938533270888712</v>
      </c>
      <c r="J35" s="44">
        <f t="shared" si="6"/>
        <v>50.730911270894232</v>
      </c>
      <c r="K35" s="44">
        <f t="shared" si="6"/>
        <v>48.789228899669233</v>
      </c>
      <c r="L35" s="44">
        <f t="shared" si="6"/>
        <v>46.609831228807181</v>
      </c>
      <c r="M35" s="35"/>
      <c r="N35" s="43">
        <f t="shared" si="0"/>
        <v>45.623484458997211</v>
      </c>
      <c r="O35" s="43">
        <f t="shared" si="1"/>
        <v>46.774182249847946</v>
      </c>
    </row>
    <row r="36" spans="2:15" x14ac:dyDescent="0.25">
      <c r="B36" s="36" t="s">
        <v>149</v>
      </c>
      <c r="C36" s="45">
        <f>SUM(C33,C35)-C34</f>
        <v>-81.201931609402862</v>
      </c>
      <c r="D36" s="45">
        <f t="shared" ref="D36:L36" si="7">SUM(D33,D35)-D34</f>
        <v>-83.700990354296493</v>
      </c>
      <c r="E36" s="45">
        <f t="shared" si="7"/>
        <v>-102.53491841755077</v>
      </c>
      <c r="F36" s="45">
        <f t="shared" si="7"/>
        <v>-105.1874233436987</v>
      </c>
      <c r="G36" s="45">
        <f t="shared" si="7"/>
        <v>-124.02516093711054</v>
      </c>
      <c r="H36" s="45">
        <f t="shared" si="7"/>
        <v>-133.35777738645396</v>
      </c>
      <c r="I36" s="45">
        <f t="shared" si="7"/>
        <v>-120.18519512519438</v>
      </c>
      <c r="J36" s="45">
        <f t="shared" si="7"/>
        <v>-95.675568809885164</v>
      </c>
      <c r="K36" s="45">
        <f t="shared" si="7"/>
        <v>-88.794860261060194</v>
      </c>
      <c r="L36" s="45">
        <f t="shared" si="7"/>
        <v>-107.72148871540267</v>
      </c>
      <c r="M36" s="35"/>
      <c r="N36" s="43">
        <f t="shared" si="0"/>
        <v>-104.23853149600556</v>
      </c>
      <c r="O36" s="43">
        <f t="shared" si="1"/>
        <v>-103.86117088062474</v>
      </c>
    </row>
    <row r="37" spans="2:15" x14ac:dyDescent="0.25">
      <c r="M37" s="35"/>
      <c r="N37" s="35"/>
      <c r="O37" s="35"/>
    </row>
    <row r="38" spans="2:15" x14ac:dyDescent="0.25">
      <c r="B38" s="35" t="s">
        <v>150</v>
      </c>
      <c r="C38" s="37">
        <f>IFERROR('FS Analysis'!C77/'FS Analysis'!C5,0)</f>
        <v>3.1434010597375418E-2</v>
      </c>
      <c r="D38" s="37">
        <f>IFERROR('FS Analysis'!D77/'FS Analysis'!D5,0)</f>
        <v>2.172536394460987E-3</v>
      </c>
      <c r="E38" s="37">
        <f>IFERROR('FS Analysis'!E77/'FS Analysis'!E5,0)</f>
        <v>7.4054810332274817E-3</v>
      </c>
      <c r="F38" s="37">
        <f>IFERROR('FS Analysis'!F77/'FS Analysis'!F5,0)</f>
        <v>-4.1510425638947343E-2</v>
      </c>
      <c r="G38" s="37">
        <f>IFERROR('FS Analysis'!G77/'FS Analysis'!G5,0)</f>
        <v>-1.9328239539635032E-2</v>
      </c>
      <c r="H38" s="37">
        <f>IFERROR('FS Analysis'!H77/'FS Analysis'!H5,0)</f>
        <v>0.24110844454424998</v>
      </c>
      <c r="I38" s="37">
        <f>IFERROR('FS Analysis'!I77/'FS Analysis'!I5,0)</f>
        <v>0.10256117932935324</v>
      </c>
      <c r="J38" s="37">
        <f>IFERROR('FS Analysis'!J77/'FS Analysis'!J5,0)</f>
        <v>-5.8333343641034707E-2</v>
      </c>
      <c r="K38" s="37">
        <f>IFERROR('FS Analysis'!K77/'FS Analysis'!K5,0)</f>
        <v>-4.0480802644438992E-2</v>
      </c>
      <c r="L38" s="37">
        <f>IFERROR('FS Analysis'!L77/'FS Analysis'!L5,0)</f>
        <v>1.9948392954699936E-2</v>
      </c>
      <c r="M38" s="35"/>
      <c r="N38" s="37">
        <f t="shared" si="0"/>
        <v>2.4497723338931097E-2</v>
      </c>
      <c r="O38" s="37">
        <f t="shared" si="1"/>
        <v>4.7890087138442346E-3</v>
      </c>
    </row>
    <row r="39" spans="2:15" x14ac:dyDescent="0.25">
      <c r="B39" t="s">
        <v>151</v>
      </c>
      <c r="C39" s="38">
        <f>IFERROR('FS Analysis'!C77/'FS Analysis'!C63,0)</f>
        <v>2.3875378535914517E-2</v>
      </c>
      <c r="D39" s="38">
        <f>IFERROR('FS Analysis'!D77/'FS Analysis'!D63,0)</f>
        <v>1.5987985468151056E-3</v>
      </c>
      <c r="E39" s="38">
        <f>IFERROR('FS Analysis'!E77/'FS Analysis'!E63,0)</f>
        <v>5.0011252531819662E-3</v>
      </c>
      <c r="F39" s="38">
        <f>IFERROR('FS Analysis'!F77/'FS Analysis'!F63,0)</f>
        <v>-2.6851788136364838E-2</v>
      </c>
      <c r="G39" s="38">
        <f>IFERROR('FS Analysis'!G77/'FS Analysis'!G63,0)</f>
        <v>-8.7921435288164165E-3</v>
      </c>
      <c r="H39" s="38">
        <f>IFERROR('FS Analysis'!H77/'FS Analysis'!H63,0)</f>
        <v>0.10856023092432349</v>
      </c>
      <c r="I39" s="38">
        <f>IFERROR('FS Analysis'!I77/'FS Analysis'!I63,0)</f>
        <v>5.3646273019735832E-2</v>
      </c>
      <c r="J39" s="38">
        <f>IFERROR('FS Analysis'!J77/'FS Analysis'!J63,0)</f>
        <v>-3.4628410089467494E-2</v>
      </c>
      <c r="K39" s="38">
        <f>IFERROR('FS Analysis'!K77/'FS Analysis'!K63,0)</f>
        <v>-2.3985848094002712E-2</v>
      </c>
      <c r="L39" s="38">
        <f>IFERROR('FS Analysis'!L77/'FS Analysis'!L63,0)</f>
        <v>1.1441488082245566E-2</v>
      </c>
      <c r="M39" s="35"/>
      <c r="N39" s="37">
        <f t="shared" si="0"/>
        <v>1.0986510451356502E-2</v>
      </c>
      <c r="O39" s="37">
        <f t="shared" si="1"/>
        <v>3.2999618999985359E-3</v>
      </c>
    </row>
    <row r="40" spans="2:15" x14ac:dyDescent="0.25">
      <c r="B40" s="36" t="s">
        <v>152</v>
      </c>
      <c r="C40" s="39">
        <f>IFERROR('FS Analysis'!C77/'FS Analysis'!C48,0)</f>
        <v>5.7372608862961048E-2</v>
      </c>
      <c r="D40" s="39">
        <f>IFERROR('FS Analysis'!D77/'FS Analysis'!D48,0)</f>
        <v>3.7324214740562865E-3</v>
      </c>
      <c r="E40" s="39">
        <f>IFERROR('FS Analysis'!E77/'FS Analysis'!E48,0)</f>
        <v>1.2200811765446729E-2</v>
      </c>
      <c r="F40" s="39">
        <f>IFERROR('FS Analysis'!F77/'FS Analysis'!F48,0)</f>
        <v>-6.1356447508267666E-2</v>
      </c>
      <c r="G40" s="39">
        <f>IFERROR('FS Analysis'!G77/'FS Analysis'!G48,0)</f>
        <v>-1.7748319330392576E-2</v>
      </c>
      <c r="H40" s="39">
        <f>IFERROR('FS Analysis'!H77/'FS Analysis'!H48,0)</f>
        <v>0.22212760014501737</v>
      </c>
      <c r="I40" s="39">
        <f>IFERROR('FS Analysis'!I77/'FS Analysis'!I48,0)</f>
        <v>0.11916725694061003</v>
      </c>
      <c r="J40" s="39">
        <f>IFERROR('FS Analysis'!J77/'FS Analysis'!J48,0)</f>
        <v>-7.6685545360085455E-2</v>
      </c>
      <c r="K40" s="39">
        <f>IFERROR('FS Analysis'!K77/'FS Analysis'!K48,0)</f>
        <v>-5.1819075034112691E-2</v>
      </c>
      <c r="L40" s="39">
        <f>IFERROR('FS Analysis'!L77/'FS Analysis'!L48,0)</f>
        <v>2.5418307632110976E-2</v>
      </c>
      <c r="M40" s="35"/>
      <c r="N40" s="37">
        <f t="shared" si="0"/>
        <v>2.3240961958734405E-2</v>
      </c>
      <c r="O40" s="37">
        <f t="shared" si="1"/>
        <v>7.9666166197515081E-3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7B6F5FE5-7343-4EE8-B1F9-34D6B9FAD3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  <x14:sparkline>
              <xm:f>'Ratio Analysis'!D17:L17</xm:f>
              <xm:sqref>M17</xm:sqref>
            </x14:sparkline>
            <x14:sparkline>
              <xm:f>'Ratio Analysis'!D18:L18</xm:f>
              <xm:sqref>M18</xm:sqref>
            </x14:sparkline>
            <x14:sparkline>
              <xm:f>'Ratio Analysis'!D19:L19</xm:f>
              <xm:sqref>M19</xm:sqref>
            </x14:sparkline>
            <x14:sparkline>
              <xm:f>'Ratio Analysis'!D20:L20</xm:f>
              <xm:sqref>M20</xm:sqref>
            </x14:sparkline>
            <x14:sparkline>
              <xm:f>'Ratio Analysis'!D21:L21</xm:f>
              <xm:sqref>M21</xm:sqref>
            </x14:sparkline>
            <x14:sparkline>
              <xm:f>'Ratio Analysis'!D22:L22</xm:f>
              <xm:sqref>M22</xm:sqref>
            </x14:sparkline>
            <x14:sparkline>
              <xm:f>'Ratio Analysis'!D23:L23</xm:f>
              <xm:sqref>M23</xm:sqref>
            </x14:sparkline>
            <x14:sparkline>
              <xm:f>'Ratio Analysis'!D24:L24</xm:f>
              <xm:sqref>M24</xm:sqref>
            </x14:sparkline>
            <x14:sparkline>
              <xm:f>'Ratio Analysis'!D25:L25</xm:f>
              <xm:sqref>M25</xm:sqref>
            </x14:sparkline>
            <x14:sparkline>
              <xm:f>'Ratio Analysis'!D26:L26</xm:f>
              <xm:sqref>M26</xm:sqref>
            </x14:sparkline>
            <x14:sparkline>
              <xm:f>'Ratio Analysis'!D27:L27</xm:f>
              <xm:sqref>M27</xm:sqref>
            </x14:sparkline>
            <x14:sparkline>
              <xm:f>'Ratio Analysis'!D28:L28</xm:f>
              <xm:sqref>M28</xm:sqref>
            </x14:sparkline>
            <x14:sparkline>
              <xm:f>'Ratio Analysis'!D29:L29</xm:f>
              <xm:sqref>M29</xm:sqref>
            </x14:sparkline>
            <x14:sparkline>
              <xm:f>'Ratio Analysis'!D30:L30</xm:f>
              <xm:sqref>M30</xm:sqref>
            </x14:sparkline>
            <x14:sparkline>
              <xm:f>'Ratio Analysis'!D31:L31</xm:f>
              <xm:sqref>M31</xm:sqref>
            </x14:sparkline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  <x14:sparkline>
              <xm:f>'Ratio Analysis'!D38:L38</xm:f>
              <xm:sqref>M38</xm:sqref>
            </x14:sparkline>
            <x14:sparkline>
              <xm:f>'Ratio Analysis'!D39:L39</xm:f>
              <xm:sqref>M39</xm:sqref>
            </x14:sparkline>
            <x14:sparkline>
              <xm:f>'Ratio Analysis'!D40:L40</xm:f>
              <xm:sqref>M40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 Sheet</vt:lpstr>
      <vt:lpstr>Cash Flow Data</vt:lpstr>
      <vt:lpstr>FS Analysis</vt:lpstr>
      <vt:lpstr>Ratio Analysis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Zaks</cp:lastModifiedBy>
  <cp:lastPrinted>2012-12-06T18:14:13Z</cp:lastPrinted>
  <dcterms:created xsi:type="dcterms:W3CDTF">2012-08-17T09:55:37Z</dcterms:created>
  <dcterms:modified xsi:type="dcterms:W3CDTF">2025-06-06T10:57:35Z</dcterms:modified>
</cp:coreProperties>
</file>