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chrome Downloads\nasim project\"/>
    </mc:Choice>
  </mc:AlternateContent>
  <bookViews>
    <workbookView xWindow="0" yWindow="0" windowWidth="20490" windowHeight="7620" activeTab="2"/>
  </bookViews>
  <sheets>
    <sheet name="Raw Fs" sheetId="1" r:id="rId1"/>
    <sheet name="Intrinsic Growth" sheetId="2" r:id="rId2"/>
    <sheet name="Sheet1" sheetId="3" r:id="rId3"/>
  </sheets>
  <definedNames>
    <definedName name="UPDATE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9" i="2" l="1"/>
  <c r="G58" i="2"/>
  <c r="G35" i="2" l="1"/>
  <c r="F35" i="2"/>
  <c r="E35" i="2"/>
  <c r="D35" i="2"/>
  <c r="C35" i="2"/>
  <c r="D45" i="2"/>
  <c r="G49" i="2" l="1"/>
  <c r="F49" i="2"/>
  <c r="E49" i="2"/>
  <c r="D49" i="2"/>
  <c r="D47" i="2"/>
  <c r="D50" i="2" s="1"/>
  <c r="D55" i="2" s="1"/>
  <c r="G45" i="2"/>
  <c r="G47" i="2" s="1"/>
  <c r="G50" i="2" s="1"/>
  <c r="G55" i="2" s="1"/>
  <c r="G57" i="2" s="1"/>
  <c r="F45" i="2"/>
  <c r="F47" i="2" s="1"/>
  <c r="F50" i="2" s="1"/>
  <c r="F55" i="2" s="1"/>
  <c r="E45" i="2"/>
  <c r="E47" i="2" s="1"/>
  <c r="E50" i="2" s="1"/>
  <c r="E55" i="2" s="1"/>
  <c r="E57" i="2" s="1"/>
  <c r="C45" i="2"/>
  <c r="C47" i="2" s="1"/>
  <c r="G43" i="2"/>
  <c r="F43" i="2"/>
  <c r="E43" i="2"/>
  <c r="D43" i="2"/>
  <c r="G42" i="2"/>
  <c r="F42" i="2"/>
  <c r="E42" i="2"/>
  <c r="D42" i="2"/>
  <c r="C42" i="2"/>
  <c r="G37" i="2"/>
  <c r="G56" i="2" s="1"/>
  <c r="F37" i="2"/>
  <c r="F56" i="2" s="1"/>
  <c r="E37" i="2"/>
  <c r="E56" i="2" s="1"/>
  <c r="D37" i="2"/>
  <c r="D56" i="2" s="1"/>
  <c r="C37" i="2"/>
  <c r="G34" i="2"/>
  <c r="F34" i="2"/>
  <c r="E34" i="2"/>
  <c r="D34" i="2"/>
  <c r="C34" i="2"/>
  <c r="C32" i="2"/>
  <c r="G32" i="2"/>
  <c r="F32" i="2"/>
  <c r="E32" i="2"/>
  <c r="D32" i="2"/>
  <c r="G31" i="2"/>
  <c r="F31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D29" i="2"/>
  <c r="C29" i="2"/>
  <c r="B29" i="2"/>
  <c r="G28" i="2"/>
  <c r="F28" i="2"/>
  <c r="E28" i="2"/>
  <c r="D28" i="2"/>
  <c r="C28" i="2"/>
  <c r="B28" i="2"/>
  <c r="G27" i="2"/>
  <c r="F27" i="2"/>
  <c r="E27" i="2"/>
  <c r="D27" i="2"/>
  <c r="C27" i="2"/>
  <c r="B27" i="2"/>
  <c r="G26" i="2"/>
  <c r="F26" i="2"/>
  <c r="E26" i="2"/>
  <c r="D26" i="2"/>
  <c r="C26" i="2"/>
  <c r="B26" i="2"/>
  <c r="G25" i="2"/>
  <c r="F25" i="2"/>
  <c r="E25" i="2"/>
  <c r="D25" i="2"/>
  <c r="C25" i="2"/>
  <c r="B25" i="2"/>
  <c r="G24" i="2"/>
  <c r="F24" i="2"/>
  <c r="E24" i="2"/>
  <c r="D24" i="2"/>
  <c r="C24" i="2"/>
  <c r="B24" i="2"/>
  <c r="G23" i="2"/>
  <c r="F23" i="2"/>
  <c r="E23" i="2"/>
  <c r="D23" i="2"/>
  <c r="C23" i="2"/>
  <c r="B23" i="2"/>
  <c r="G22" i="2"/>
  <c r="F22" i="2"/>
  <c r="E22" i="2"/>
  <c r="D22" i="2"/>
  <c r="C22" i="2"/>
  <c r="B22" i="2"/>
  <c r="G21" i="2"/>
  <c r="F21" i="2"/>
  <c r="E21" i="2"/>
  <c r="D21" i="2"/>
  <c r="C21" i="2"/>
  <c r="B21" i="2"/>
  <c r="G15" i="2"/>
  <c r="F15" i="2"/>
  <c r="E15" i="2"/>
  <c r="D15" i="2"/>
  <c r="C15" i="2"/>
  <c r="G14" i="2"/>
  <c r="F14" i="2"/>
  <c r="E14" i="2"/>
  <c r="D14" i="2"/>
  <c r="C14" i="2"/>
  <c r="G13" i="2"/>
  <c r="G16" i="2" s="1"/>
  <c r="F13" i="2"/>
  <c r="E13" i="2"/>
  <c r="E16" i="2" s="1"/>
  <c r="D13" i="2"/>
  <c r="C13" i="2"/>
  <c r="C16" i="2" s="1"/>
  <c r="B14" i="2"/>
  <c r="B15" i="2"/>
  <c r="B13" i="2"/>
  <c r="G9" i="2"/>
  <c r="F9" i="2"/>
  <c r="E9" i="2"/>
  <c r="D9" i="2"/>
  <c r="C9" i="2"/>
  <c r="G8" i="2"/>
  <c r="F8" i="2"/>
  <c r="E8" i="2"/>
  <c r="D8" i="2"/>
  <c r="C8" i="2"/>
  <c r="G7" i="2"/>
  <c r="F7" i="2"/>
  <c r="E7" i="2"/>
  <c r="D7" i="2"/>
  <c r="C7" i="2"/>
  <c r="G6" i="2"/>
  <c r="F6" i="2"/>
  <c r="E6" i="2"/>
  <c r="D6" i="2"/>
  <c r="C6" i="2"/>
  <c r="G5" i="2"/>
  <c r="G10" i="2" s="1"/>
  <c r="G18" i="2" s="1"/>
  <c r="F5" i="2"/>
  <c r="E5" i="2"/>
  <c r="E10" i="2" s="1"/>
  <c r="E18" i="2" s="1"/>
  <c r="D5" i="2"/>
  <c r="C5" i="2"/>
  <c r="C10" i="2" s="1"/>
  <c r="C18" i="2" s="1"/>
  <c r="B9" i="2"/>
  <c r="B8" i="2"/>
  <c r="B7" i="2"/>
  <c r="B6" i="2"/>
  <c r="B5" i="2"/>
  <c r="M30" i="1"/>
  <c r="L30" i="1"/>
  <c r="K30" i="1"/>
  <c r="J30" i="1"/>
  <c r="I30" i="1"/>
  <c r="H30" i="1"/>
  <c r="G30" i="1"/>
  <c r="F30" i="1"/>
  <c r="E30" i="1"/>
  <c r="D30" i="1"/>
  <c r="C30" i="1"/>
  <c r="F57" i="2" l="1"/>
  <c r="D57" i="2"/>
  <c r="D10" i="2"/>
  <c r="F10" i="2"/>
  <c r="D16" i="2"/>
  <c r="F16" i="2"/>
  <c r="D18" i="2" l="1"/>
  <c r="F18" i="2"/>
</calcChain>
</file>

<file path=xl/sharedStrings.xml><?xml version="1.0" encoding="utf-8"?>
<sst xmlns="http://schemas.openxmlformats.org/spreadsheetml/2006/main" count="111" uniqueCount="102">
  <si>
    <t>Equity Capital</t>
  </si>
  <si>
    <t>Reserves</t>
  </si>
  <si>
    <t>Long term Borrowings</t>
  </si>
  <si>
    <t>Short term Borrowings</t>
  </si>
  <si>
    <t>Lease Liabilities</t>
  </si>
  <si>
    <t>Other Borrowings</t>
  </si>
  <si>
    <t>Non controlling int</t>
  </si>
  <si>
    <t>Trade Payables</t>
  </si>
  <si>
    <t>Advance from Customers</t>
  </si>
  <si>
    <t>Other liability items</t>
  </si>
  <si>
    <t>Total Liabilities</t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</si>
  <si>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</si>
  <si>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</si>
  <si>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</si>
  <si>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</si>
  <si>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</si>
  <si>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</si>
  <si>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</si>
  <si>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</si>
  <si>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</si>
  <si>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</si>
  <si>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</si>
  <si>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</si>
  <si>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Investments</t>
  </si>
  <si>
    <t>Inventories</t>
  </si>
  <si>
    <t>Cash Equivalents</t>
  </si>
  <si>
    <t>Loans n Advances</t>
  </si>
  <si>
    <t>Other asset items</t>
  </si>
  <si>
    <t>Total Assets</t>
  </si>
  <si>
    <t>Borrowings -</t>
  </si>
  <si>
    <t>Other Liabilities -</t>
  </si>
  <si>
    <t>Fixed Assets -</t>
  </si>
  <si>
    <t>Other Assets -</t>
  </si>
  <si>
    <t>Particulars</t>
  </si>
  <si>
    <t xml:space="preserve">Trade receivables </t>
  </si>
  <si>
    <t>Net Block</t>
  </si>
  <si>
    <t>Cash from Operating Activity -</t>
  </si>
  <si>
    <t>Profit from operations</t>
  </si>
  <si>
    <t>Receivables</t>
  </si>
  <si>
    <t>Inventory</t>
  </si>
  <si>
    <t>Payables</t>
  </si>
  <si>
    <t>Loans Advances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</si>
  <si>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</si>
  <si>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</si>
  <si>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</si>
  <si>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</si>
  <si>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</si>
  <si>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</si>
  <si>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</si>
  <si>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</si>
  <si>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</si>
  <si>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</si>
  <si>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</si>
  <si>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</si>
  <si>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 n Canc of Shares</t>
  </si>
  <si>
    <t>Acquisition of companies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</si>
  <si>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</si>
  <si>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</si>
  <si>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</si>
  <si>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</si>
  <si>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</si>
  <si>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</si>
  <si>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</si>
  <si>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</si>
  <si>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</si>
  <si>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Net Cash Flow</t>
  </si>
  <si>
    <t xml:space="preserve">BERGER PAINTS </t>
  </si>
  <si>
    <t>Operating Profit</t>
  </si>
  <si>
    <t>OPM %</t>
  </si>
  <si>
    <t>Interest</t>
  </si>
  <si>
    <t>Depreciation</t>
  </si>
  <si>
    <t>Profit before tax</t>
  </si>
  <si>
    <t>Tax %</t>
  </si>
  <si>
    <t>EPS in Rs</t>
  </si>
  <si>
    <t>Dividend Payout %</t>
  </si>
  <si>
    <t xml:space="preserve">Sales </t>
  </si>
  <si>
    <t xml:space="preserve">Expenses </t>
  </si>
  <si>
    <t xml:space="preserve">Other Income </t>
  </si>
  <si>
    <t xml:space="preserve">Net Profit </t>
  </si>
  <si>
    <t>Calculations of ROIC</t>
  </si>
  <si>
    <t>Current Assets</t>
  </si>
  <si>
    <t>Total Current Assets</t>
  </si>
  <si>
    <t>Current Liabilities</t>
  </si>
  <si>
    <t>Total Current Liabilities</t>
  </si>
  <si>
    <t>Net Working Capital</t>
  </si>
  <si>
    <t>Non Current Asstes</t>
  </si>
  <si>
    <t>Net Non Current Assets</t>
  </si>
  <si>
    <t>#</t>
  </si>
  <si>
    <t>Invested Capital</t>
  </si>
  <si>
    <t>EBIT</t>
  </si>
  <si>
    <t>ROIC</t>
  </si>
  <si>
    <t xml:space="preserve">Calculations of Reinvestment Rate </t>
  </si>
  <si>
    <t>Net Capex</t>
  </si>
  <si>
    <t>Change in Working Capital</t>
  </si>
  <si>
    <t xml:space="preserve">Marginal Tax Rate </t>
  </si>
  <si>
    <t>EBIT(1-Tax)</t>
  </si>
  <si>
    <t xml:space="preserve">Reinvestment </t>
  </si>
  <si>
    <t xml:space="preserve">Reinvestment Rate </t>
  </si>
  <si>
    <t xml:space="preserve">Calculation Of Growth Rate </t>
  </si>
  <si>
    <t>Intrinsic Growth</t>
  </si>
  <si>
    <t>4 Year Average</t>
  </si>
  <si>
    <t>4 Year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</si>
</sst>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;\(#,##0.0\);\-"/>
    <numFmt numFmtId="165" formatCode="\(0\)"/>
    <numFmt numFmtId="166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3333FF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166" fontId="6" fillId="0" borderId="0" applyFont="0" applyFill="0" applyBorder="0" applyAlignment="0" applyProtection="0"/>
  </cellStyleXfs>
  <cellXfs count="35">
    <xf numFmtId="0" fontId="0" fillId="0" borderId="0" xfId="0"/>
    <xf numFmtId="17" fontId="0" fillId="0" borderId="0" xfId="0" applyNumberFormat="1"/>
    <xf numFmtId="3" fontId="0" fillId="0" borderId="0" xfId="0" applyNumberFormat="1"/>
    <xf numFmtId="0" fontId="4" fillId="2" borderId="0" xfId="0" applyFont="1" applyFill="1"/>
    <xf numFmtId="17" fontId="4" fillId="2" borderId="0" xfId="0" applyNumberFormat="1" applyFont="1" applyFill="1"/>
    <xf numFmtId="164" fontId="0" fillId="0" borderId="1" xfId="0" applyNumberFormat="1" applyBorder="1"/>
    <xf numFmtId="164" fontId="0" fillId="0" borderId="0" xfId="0" applyNumberFormat="1"/>
    <xf numFmtId="0" fontId="2" fillId="0" borderId="0" xfId="0" applyFont="1"/>
    <xf numFmtId="0" fontId="2" fillId="0" borderId="2" xfId="0" applyFont="1" applyBorder="1"/>
    <xf numFmtId="0" fontId="2" fillId="0" borderId="0" xfId="0" applyFont="1" applyBorder="1"/>
    <xf numFmtId="3" fontId="0" fillId="0" borderId="0" xfId="0" applyNumberFormat="1" applyBorder="1"/>
    <xf numFmtId="0" fontId="2" fillId="0" borderId="3" xfId="0" applyFont="1" applyBorder="1"/>
    <xf numFmtId="0" fontId="0" fillId="0" borderId="3" xfId="0" applyBorder="1"/>
    <xf numFmtId="164" fontId="0" fillId="0" borderId="3" xfId="0" applyNumberFormat="1" applyBorder="1"/>
    <xf numFmtId="164" fontId="0" fillId="0" borderId="2" xfId="0" applyNumberFormat="1" applyBorder="1"/>
    <xf numFmtId="0" fontId="0" fillId="0" borderId="2" xfId="0" applyBorder="1"/>
    <xf numFmtId="0" fontId="3" fillId="2" borderId="0" xfId="0" applyFont="1" applyFill="1"/>
    <xf numFmtId="17" fontId="3" fillId="2" borderId="0" xfId="0" applyNumberFormat="1" applyFont="1" applyFill="1"/>
    <xf numFmtId="0" fontId="1" fillId="2" borderId="0" xfId="0" applyFont="1" applyFill="1"/>
    <xf numFmtId="9" fontId="0" fillId="0" borderId="0" xfId="0" applyNumberFormat="1"/>
    <xf numFmtId="0" fontId="0" fillId="0" borderId="4" xfId="0" applyBorder="1"/>
    <xf numFmtId="3" fontId="0" fillId="0" borderId="4" xfId="0" applyNumberFormat="1" applyBorder="1"/>
    <xf numFmtId="3" fontId="2" fillId="0" borderId="2" xfId="0" applyNumberFormat="1" applyFont="1" applyBorder="1"/>
    <xf numFmtId="0" fontId="2" fillId="0" borderId="5" xfId="0" applyFont="1" applyBorder="1"/>
    <xf numFmtId="0" fontId="0" fillId="0" borderId="5" xfId="0" applyBorder="1"/>
    <xf numFmtId="165" fontId="0" fillId="0" borderId="3" xfId="0" applyNumberFormat="1" applyBorder="1"/>
    <xf numFmtId="10" fontId="2" fillId="0" borderId="2" xfId="0" applyNumberFormat="1" applyFont="1" applyBorder="1"/>
    <xf numFmtId="10" fontId="0" fillId="0" borderId="4" xfId="0" applyNumberFormat="1" applyBorder="1"/>
    <xf numFmtId="0" fontId="0" fillId="0" borderId="6" xfId="0" applyBorder="1"/>
    <xf numFmtId="10" fontId="0" fillId="0" borderId="6" xfId="0" applyNumberFormat="1" applyBorder="1"/>
    <xf numFmtId="9" fontId="5" fillId="0" borderId="4" xfId="0" applyNumberFormat="1" applyFont="1" applyBorder="1"/>
    <xf numFmtId="0" fontId="2" fillId="0" borderId="4" xfId="0" applyFont="1" applyBorder="1"/>
    <xf numFmtId="3" fontId="2" fillId="0" borderId="4" xfId="0" applyNumberFormat="1" applyFont="1" applyBorder="1"/>
    <xf numFmtId="0" fontId="0" fillId="3" borderId="0" xfId="0" applyFill="1"/>
    <xf numFmtId="10" fontId="0" fillId="3" borderId="0" xfId="0" applyNumberFormat="1" applyFill="1"/>
  </cellXfs>
  <cellStyles count="2">
    <cellStyle name="Comma 2" xfId="1"/>
    <cellStyle name="Normal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0"/>
  <sheetViews>
    <sheetView showGridLines="0" topLeftCell="A73" zoomScaleNormal="100" workbookViewId="0">
      <selection activeCell="I86" sqref="I86"/>
    </sheetView>
  </sheetViews>
  <sheetFormatPr defaultRowHeight="15" x14ac:dyDescent="0.25"/>
  <cols>
    <col min="1" max="1" width="3.140625" customWidth="1"/>
    <col min="2" max="2" width="28" bestFit="1" customWidth="1"/>
    <col min="3" max="13" width="7.140625" customWidth="1"/>
  </cols>
  <sheetData>
    <row r="1" spans="2:13" x14ac:dyDescent="0.25">
      <c r="B1" s="18" t="s">
        <v>66</v>
      </c>
    </row>
    <row r="2" spans="2:13" x14ac:dyDescent="0.25">
      <c r="B2" s="3" t="s">
        <v>33</v>
      </c>
      <c r="C2" s="4">
        <v>41699</v>
      </c>
      <c r="D2" s="4">
        <v>42064</v>
      </c>
      <c r="E2" s="4">
        <v>42430</v>
      </c>
      <c r="F2" s="4">
        <v>42795</v>
      </c>
      <c r="G2" s="4">
        <v>43160</v>
      </c>
      <c r="H2" s="4">
        <v>43525</v>
      </c>
      <c r="I2" s="4">
        <v>43891</v>
      </c>
      <c r="J2" s="4">
        <v>44256</v>
      </c>
      <c r="K2" s="4">
        <v>44621</v>
      </c>
      <c r="L2" s="4">
        <v>44986</v>
      </c>
      <c r="M2" s="4">
        <v>45352</v>
      </c>
    </row>
    <row r="4" spans="2:13" x14ac:dyDescent="0.25">
      <c r="B4" t="s">
        <v>0</v>
      </c>
      <c r="C4" s="5">
        <v>69</v>
      </c>
      <c r="D4" s="5">
        <v>69</v>
      </c>
      <c r="E4" s="5">
        <v>69</v>
      </c>
      <c r="F4" s="5">
        <v>97</v>
      </c>
      <c r="G4" s="5">
        <v>97</v>
      </c>
      <c r="H4" s="5">
        <v>97</v>
      </c>
      <c r="I4" s="5">
        <v>97</v>
      </c>
      <c r="J4" s="5">
        <v>97</v>
      </c>
      <c r="K4" s="5">
        <v>97</v>
      </c>
      <c r="L4" s="5">
        <v>97</v>
      </c>
      <c r="M4" s="5">
        <v>117</v>
      </c>
    </row>
    <row r="5" spans="2:13" x14ac:dyDescent="0.25">
      <c r="B5" t="s">
        <v>1</v>
      </c>
      <c r="C5" s="5">
        <v>1051</v>
      </c>
      <c r="D5" s="5">
        <v>1191</v>
      </c>
      <c r="E5" s="5">
        <v>1493</v>
      </c>
      <c r="F5" s="5">
        <v>1804</v>
      </c>
      <c r="G5" s="5">
        <v>2097</v>
      </c>
      <c r="H5" s="5">
        <v>2347</v>
      </c>
      <c r="I5" s="5">
        <v>2563</v>
      </c>
      <c r="J5" s="5">
        <v>3280</v>
      </c>
      <c r="K5" s="5">
        <v>3830</v>
      </c>
      <c r="L5" s="5">
        <v>4397</v>
      </c>
      <c r="M5" s="5">
        <v>5262</v>
      </c>
    </row>
    <row r="6" spans="2:13" x14ac:dyDescent="0.25">
      <c r="B6" s="7" t="s">
        <v>29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2:13" x14ac:dyDescent="0.25">
      <c r="B7" t="s">
        <v>2</v>
      </c>
      <c r="C7" s="5">
        <v>147</v>
      </c>
      <c r="D7" s="5">
        <v>251</v>
      </c>
      <c r="E7" s="5">
        <v>211</v>
      </c>
      <c r="F7" s="5">
        <v>262</v>
      </c>
      <c r="G7" s="5">
        <v>249</v>
      </c>
      <c r="H7" s="5">
        <v>239</v>
      </c>
      <c r="I7" s="5">
        <v>243</v>
      </c>
      <c r="J7" s="5">
        <v>166</v>
      </c>
      <c r="K7" s="5">
        <v>10</v>
      </c>
      <c r="L7" s="5">
        <v>8</v>
      </c>
      <c r="M7" s="5">
        <v>6</v>
      </c>
    </row>
    <row r="8" spans="2:13" x14ac:dyDescent="0.25">
      <c r="B8" t="s">
        <v>3</v>
      </c>
      <c r="C8" s="5">
        <v>381</v>
      </c>
      <c r="D8" s="5">
        <v>358</v>
      </c>
      <c r="E8" s="5">
        <v>99</v>
      </c>
      <c r="F8" s="5">
        <v>144</v>
      </c>
      <c r="G8" s="5">
        <v>173</v>
      </c>
      <c r="H8" s="5">
        <v>245</v>
      </c>
      <c r="I8" s="5">
        <v>293</v>
      </c>
      <c r="J8" s="5">
        <v>210</v>
      </c>
      <c r="K8" s="5">
        <v>658</v>
      </c>
      <c r="L8" s="5">
        <v>760</v>
      </c>
      <c r="M8" s="5">
        <v>199</v>
      </c>
    </row>
    <row r="9" spans="2:13" x14ac:dyDescent="0.25">
      <c r="B9" t="s">
        <v>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233</v>
      </c>
      <c r="I9" s="5">
        <v>231</v>
      </c>
      <c r="J9" s="5">
        <v>258</v>
      </c>
      <c r="K9" s="5">
        <v>346</v>
      </c>
      <c r="L9" s="5">
        <v>421</v>
      </c>
      <c r="M9" s="5">
        <v>548</v>
      </c>
    </row>
    <row r="10" spans="2:13" x14ac:dyDescent="0.25">
      <c r="B10" t="s">
        <v>5</v>
      </c>
      <c r="C10" s="5">
        <v>95</v>
      </c>
      <c r="D10" s="5">
        <v>1</v>
      </c>
      <c r="E10" s="5">
        <v>45</v>
      </c>
      <c r="F10" s="5">
        <v>0</v>
      </c>
      <c r="G10" s="5">
        <v>0</v>
      </c>
      <c r="H10" s="5">
        <v>36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2:13" x14ac:dyDescent="0.25">
      <c r="B11" s="7" t="s">
        <v>30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2:13" x14ac:dyDescent="0.25">
      <c r="B12" t="s">
        <v>6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3</v>
      </c>
      <c r="I12" s="5">
        <v>7</v>
      </c>
      <c r="J12" s="5">
        <v>7</v>
      </c>
      <c r="K12" s="5">
        <v>7</v>
      </c>
      <c r="L12" s="5">
        <v>8</v>
      </c>
      <c r="M12" s="5">
        <v>10</v>
      </c>
    </row>
    <row r="13" spans="2:13" x14ac:dyDescent="0.25">
      <c r="B13" t="s">
        <v>7</v>
      </c>
      <c r="C13" s="5">
        <v>544</v>
      </c>
      <c r="D13" s="5">
        <v>560</v>
      </c>
      <c r="E13" s="5">
        <v>670</v>
      </c>
      <c r="F13" s="5">
        <v>761</v>
      </c>
      <c r="G13" s="5">
        <v>955</v>
      </c>
      <c r="H13" s="5">
        <v>999</v>
      </c>
      <c r="I13" s="5">
        <v>1066</v>
      </c>
      <c r="J13" s="5">
        <v>1497</v>
      </c>
      <c r="K13" s="5">
        <v>1803</v>
      </c>
      <c r="L13" s="5">
        <v>1766</v>
      </c>
      <c r="M13" s="5">
        <v>1679</v>
      </c>
    </row>
    <row r="14" spans="2:13" x14ac:dyDescent="0.25">
      <c r="B14" t="s">
        <v>8</v>
      </c>
      <c r="C14" s="5">
        <v>9</v>
      </c>
      <c r="D14" s="5">
        <v>10</v>
      </c>
      <c r="E14" s="5">
        <v>11</v>
      </c>
      <c r="F14" s="5">
        <v>13</v>
      </c>
      <c r="G14" s="5">
        <v>19</v>
      </c>
      <c r="H14" s="5">
        <v>19</v>
      </c>
      <c r="I14" s="5">
        <v>17</v>
      </c>
      <c r="J14" s="5">
        <v>25</v>
      </c>
      <c r="K14" s="5">
        <v>24</v>
      </c>
      <c r="L14" s="5">
        <v>25</v>
      </c>
      <c r="M14" s="5">
        <v>29</v>
      </c>
    </row>
    <row r="15" spans="2:13" x14ac:dyDescent="0.25">
      <c r="B15" t="s">
        <v>9</v>
      </c>
      <c r="C15" s="5">
        <v>298</v>
      </c>
      <c r="D15" s="5">
        <v>276</v>
      </c>
      <c r="E15" s="5">
        <v>280</v>
      </c>
      <c r="F15" s="5">
        <v>358</v>
      </c>
      <c r="G15" s="5">
        <v>351</v>
      </c>
      <c r="H15" s="5">
        <v>338</v>
      </c>
      <c r="I15" s="5">
        <v>383</v>
      </c>
      <c r="J15" s="5">
        <v>378</v>
      </c>
      <c r="K15" s="5">
        <v>437</v>
      </c>
      <c r="L15" s="5">
        <v>485</v>
      </c>
      <c r="M15" s="5">
        <v>517</v>
      </c>
    </row>
    <row r="16" spans="2:13" ht="15.75" thickBot="1" x14ac:dyDescent="0.3">
      <c r="B16" s="8" t="s">
        <v>10</v>
      </c>
      <c r="C16" s="14">
        <v>2595</v>
      </c>
      <c r="D16" s="14">
        <v>2716</v>
      </c>
      <c r="E16" s="14">
        <v>2877</v>
      </c>
      <c r="F16" s="14">
        <v>3440</v>
      </c>
      <c r="G16" s="14">
        <v>3943</v>
      </c>
      <c r="H16" s="14">
        <v>4557</v>
      </c>
      <c r="I16" s="14">
        <v>4900</v>
      </c>
      <c r="J16" s="14">
        <v>5918</v>
      </c>
      <c r="K16" s="14">
        <v>7211</v>
      </c>
      <c r="L16" s="14">
        <v>7966</v>
      </c>
      <c r="M16" s="14">
        <v>8368</v>
      </c>
    </row>
    <row r="17" spans="2:13" ht="15.75" thickTop="1" x14ac:dyDescent="0.25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2:13" x14ac:dyDescent="0.25">
      <c r="B18" s="7" t="s">
        <v>31</v>
      </c>
      <c r="F18" s="2"/>
      <c r="G18" s="2"/>
      <c r="H18" s="2"/>
      <c r="I18" s="2"/>
      <c r="J18" s="2"/>
      <c r="K18" s="2"/>
      <c r="L18" s="2"/>
      <c r="M18" s="2"/>
    </row>
    <row r="19" spans="2:13" x14ac:dyDescent="0.25">
      <c r="B19" t="s">
        <v>11</v>
      </c>
      <c r="C19" s="5">
        <v>21</v>
      </c>
      <c r="D19" s="5">
        <v>23</v>
      </c>
      <c r="E19" s="5">
        <v>20</v>
      </c>
      <c r="F19" s="5">
        <v>21</v>
      </c>
      <c r="G19" s="5">
        <v>22</v>
      </c>
      <c r="H19" s="5">
        <v>61</v>
      </c>
      <c r="I19" s="5">
        <v>159</v>
      </c>
      <c r="J19" s="5">
        <v>170</v>
      </c>
      <c r="K19" s="5">
        <v>174</v>
      </c>
      <c r="L19" s="5">
        <v>183</v>
      </c>
      <c r="M19" s="5">
        <v>243</v>
      </c>
    </row>
    <row r="20" spans="2:13" x14ac:dyDescent="0.25">
      <c r="B20" t="s">
        <v>12</v>
      </c>
      <c r="C20" s="5">
        <v>289</v>
      </c>
      <c r="D20" s="5">
        <v>344</v>
      </c>
      <c r="E20" s="5">
        <v>325</v>
      </c>
      <c r="F20" s="5">
        <v>405</v>
      </c>
      <c r="G20" s="5">
        <v>426</v>
      </c>
      <c r="H20" s="5">
        <v>656</v>
      </c>
      <c r="I20" s="5">
        <v>832</v>
      </c>
      <c r="J20" s="5">
        <v>884</v>
      </c>
      <c r="K20" s="5">
        <v>1004</v>
      </c>
      <c r="L20" s="5">
        <v>1626</v>
      </c>
      <c r="M20" s="5">
        <v>1769</v>
      </c>
    </row>
    <row r="21" spans="2:13" x14ac:dyDescent="0.25">
      <c r="B21" t="s">
        <v>13</v>
      </c>
      <c r="C21" s="5">
        <v>610</v>
      </c>
      <c r="D21" s="5">
        <v>709</v>
      </c>
      <c r="E21" s="5">
        <v>436</v>
      </c>
      <c r="F21" s="5">
        <v>607</v>
      </c>
      <c r="G21" s="5">
        <v>729</v>
      </c>
      <c r="H21" s="5">
        <v>835</v>
      </c>
      <c r="I21" s="5">
        <v>1011</v>
      </c>
      <c r="J21" s="5">
        <v>1206</v>
      </c>
      <c r="K21" s="5">
        <v>1306</v>
      </c>
      <c r="L21" s="5">
        <v>2023</v>
      </c>
      <c r="M21" s="5">
        <v>2181</v>
      </c>
    </row>
    <row r="22" spans="2:13" x14ac:dyDescent="0.25">
      <c r="B22" t="s">
        <v>14</v>
      </c>
      <c r="C22" s="5">
        <v>74</v>
      </c>
      <c r="D22" s="5">
        <v>9</v>
      </c>
      <c r="E22" s="5">
        <v>7</v>
      </c>
      <c r="F22" s="5">
        <v>9</v>
      </c>
      <c r="G22" s="5">
        <v>11</v>
      </c>
      <c r="H22" s="5">
        <v>15</v>
      </c>
      <c r="I22" s="5">
        <v>19</v>
      </c>
      <c r="J22" s="5">
        <v>23</v>
      </c>
      <c r="K22" s="5">
        <v>27</v>
      </c>
      <c r="L22" s="5">
        <v>37</v>
      </c>
      <c r="M22" s="5">
        <v>44</v>
      </c>
    </row>
    <row r="23" spans="2:13" x14ac:dyDescent="0.25">
      <c r="B23" t="s">
        <v>15</v>
      </c>
      <c r="C23" s="5">
        <v>0</v>
      </c>
      <c r="D23" s="5">
        <v>69</v>
      </c>
      <c r="E23" s="5">
        <v>25</v>
      </c>
      <c r="F23" s="5">
        <v>36</v>
      </c>
      <c r="G23" s="5">
        <v>47</v>
      </c>
      <c r="H23" s="5">
        <v>49</v>
      </c>
      <c r="I23" s="5">
        <v>56</v>
      </c>
      <c r="J23" s="5">
        <v>58</v>
      </c>
      <c r="K23" s="5">
        <v>54</v>
      </c>
      <c r="L23" s="5">
        <v>61</v>
      </c>
      <c r="M23" s="5">
        <v>66</v>
      </c>
    </row>
    <row r="24" spans="2:13" x14ac:dyDescent="0.25">
      <c r="B24" t="s">
        <v>16</v>
      </c>
      <c r="C24" s="5">
        <v>33</v>
      </c>
      <c r="D24" s="5">
        <v>36</v>
      </c>
      <c r="E24" s="5">
        <v>22</v>
      </c>
      <c r="F24" s="5">
        <v>26</v>
      </c>
      <c r="G24" s="5">
        <v>37</v>
      </c>
      <c r="H24" s="5">
        <v>40</v>
      </c>
      <c r="I24" s="5">
        <v>44</v>
      </c>
      <c r="J24" s="5">
        <v>47</v>
      </c>
      <c r="K24" s="5">
        <v>49</v>
      </c>
      <c r="L24" s="5">
        <v>55</v>
      </c>
      <c r="M24" s="5">
        <v>64</v>
      </c>
    </row>
    <row r="25" spans="2:13" x14ac:dyDescent="0.25">
      <c r="B25" t="s">
        <v>17</v>
      </c>
      <c r="C25" s="5">
        <v>24</v>
      </c>
      <c r="D25" s="5">
        <v>25</v>
      </c>
      <c r="E25" s="5">
        <v>13</v>
      </c>
      <c r="F25" s="5">
        <v>14</v>
      </c>
      <c r="G25" s="5">
        <v>19</v>
      </c>
      <c r="H25" s="5">
        <v>24</v>
      </c>
      <c r="I25" s="5">
        <v>27</v>
      </c>
      <c r="J25" s="5">
        <v>23</v>
      </c>
      <c r="K25" s="5">
        <v>20</v>
      </c>
      <c r="L25" s="5">
        <v>20</v>
      </c>
      <c r="M25" s="5">
        <v>22</v>
      </c>
    </row>
    <row r="26" spans="2:13" x14ac:dyDescent="0.25">
      <c r="B26" t="s">
        <v>18</v>
      </c>
      <c r="C26" s="5">
        <v>224</v>
      </c>
      <c r="D26" s="5">
        <v>198</v>
      </c>
      <c r="E26" s="5">
        <v>186</v>
      </c>
      <c r="F26" s="5">
        <v>179</v>
      </c>
      <c r="G26" s="5">
        <v>265</v>
      </c>
      <c r="H26" s="5">
        <v>269</v>
      </c>
      <c r="I26" s="5">
        <v>279</v>
      </c>
      <c r="J26" s="5">
        <v>288</v>
      </c>
      <c r="K26" s="5">
        <v>276</v>
      </c>
      <c r="L26" s="5">
        <v>282</v>
      </c>
      <c r="M26" s="5">
        <v>305</v>
      </c>
    </row>
    <row r="27" spans="2:13" x14ac:dyDescent="0.25">
      <c r="B27" t="s">
        <v>19</v>
      </c>
      <c r="C27" s="5">
        <v>47</v>
      </c>
      <c r="D27" s="5">
        <v>48</v>
      </c>
      <c r="E27" s="5">
        <v>14</v>
      </c>
      <c r="F27" s="5">
        <v>12</v>
      </c>
      <c r="G27" s="5">
        <v>16</v>
      </c>
      <c r="H27" s="5">
        <v>23</v>
      </c>
      <c r="I27" s="5">
        <v>25</v>
      </c>
      <c r="J27" s="5">
        <v>34</v>
      </c>
      <c r="K27" s="5">
        <v>43</v>
      </c>
      <c r="L27" s="5">
        <v>36</v>
      </c>
      <c r="M27" s="5">
        <v>44</v>
      </c>
    </row>
    <row r="28" spans="2:13" x14ac:dyDescent="0.25">
      <c r="B28" s="7" t="s">
        <v>20</v>
      </c>
      <c r="C28" s="6">
        <v>1322</v>
      </c>
      <c r="D28" s="6">
        <v>1461</v>
      </c>
      <c r="E28" s="6">
        <v>1048</v>
      </c>
      <c r="F28" s="6">
        <v>1310</v>
      </c>
      <c r="G28" s="6">
        <v>1571</v>
      </c>
      <c r="H28" s="6">
        <v>1971</v>
      </c>
      <c r="I28" s="6">
        <v>2452</v>
      </c>
      <c r="J28" s="6">
        <v>2734</v>
      </c>
      <c r="K28" s="6">
        <v>2955</v>
      </c>
      <c r="L28" s="6">
        <v>4324</v>
      </c>
      <c r="M28" s="6">
        <v>4736</v>
      </c>
    </row>
    <row r="29" spans="2:13" x14ac:dyDescent="0.25">
      <c r="B29" s="11" t="s">
        <v>21</v>
      </c>
      <c r="C29" s="13">
        <v>458</v>
      </c>
      <c r="D29" s="13">
        <v>531</v>
      </c>
      <c r="E29" s="13">
        <v>85</v>
      </c>
      <c r="F29" s="13">
        <v>174</v>
      </c>
      <c r="G29" s="13">
        <v>304</v>
      </c>
      <c r="H29" s="13">
        <v>388</v>
      </c>
      <c r="I29" s="13">
        <v>536</v>
      </c>
      <c r="J29" s="13">
        <v>690</v>
      </c>
      <c r="K29" s="13">
        <v>768</v>
      </c>
      <c r="L29" s="13">
        <v>992</v>
      </c>
      <c r="M29" s="13">
        <v>1236</v>
      </c>
    </row>
    <row r="30" spans="2:13" x14ac:dyDescent="0.25">
      <c r="B30" s="7" t="s">
        <v>35</v>
      </c>
      <c r="C30" s="6">
        <f>C28-C29</f>
        <v>864</v>
      </c>
      <c r="D30" s="6">
        <f t="shared" ref="D30:M30" si="0">D28-D29</f>
        <v>930</v>
      </c>
      <c r="E30" s="6">
        <f t="shared" si="0"/>
        <v>963</v>
      </c>
      <c r="F30" s="6">
        <f t="shared" si="0"/>
        <v>1136</v>
      </c>
      <c r="G30" s="6">
        <f t="shared" si="0"/>
        <v>1267</v>
      </c>
      <c r="H30" s="6">
        <f t="shared" si="0"/>
        <v>1583</v>
      </c>
      <c r="I30" s="6">
        <f t="shared" si="0"/>
        <v>1916</v>
      </c>
      <c r="J30" s="6">
        <f t="shared" si="0"/>
        <v>2044</v>
      </c>
      <c r="K30" s="6">
        <f t="shared" si="0"/>
        <v>2187</v>
      </c>
      <c r="L30" s="6">
        <f t="shared" si="0"/>
        <v>3332</v>
      </c>
      <c r="M30" s="6">
        <f t="shared" si="0"/>
        <v>3500</v>
      </c>
    </row>
    <row r="31" spans="2:13" x14ac:dyDescent="0.25">
      <c r="B31" s="7"/>
      <c r="M31" s="2"/>
    </row>
    <row r="32" spans="2:13" x14ac:dyDescent="0.25">
      <c r="B32" s="7" t="s">
        <v>22</v>
      </c>
      <c r="C32" s="5">
        <v>133</v>
      </c>
      <c r="D32" s="5">
        <v>100</v>
      </c>
      <c r="E32" s="5">
        <v>51</v>
      </c>
      <c r="F32" s="5">
        <v>62</v>
      </c>
      <c r="G32" s="5">
        <v>97</v>
      </c>
      <c r="H32" s="5">
        <v>170</v>
      </c>
      <c r="I32" s="5">
        <v>178</v>
      </c>
      <c r="J32" s="5">
        <v>107</v>
      </c>
      <c r="K32" s="5">
        <v>606</v>
      </c>
      <c r="L32" s="5">
        <v>111</v>
      </c>
      <c r="M32" s="5">
        <v>189</v>
      </c>
    </row>
    <row r="33" spans="2:14" x14ac:dyDescent="0.25">
      <c r="B33" s="7" t="s">
        <v>23</v>
      </c>
      <c r="C33" s="5">
        <v>91</v>
      </c>
      <c r="D33" s="5">
        <v>134</v>
      </c>
      <c r="E33" s="5">
        <v>348</v>
      </c>
      <c r="F33" s="5">
        <v>472</v>
      </c>
      <c r="G33" s="5">
        <v>333</v>
      </c>
      <c r="H33" s="5">
        <v>395</v>
      </c>
      <c r="I33" s="5">
        <v>315</v>
      </c>
      <c r="J33" s="5">
        <v>356</v>
      </c>
      <c r="K33" s="5">
        <v>234</v>
      </c>
      <c r="L33" s="5">
        <v>183</v>
      </c>
      <c r="M33" s="5">
        <v>255</v>
      </c>
    </row>
    <row r="34" spans="2:14" x14ac:dyDescent="0.25">
      <c r="B34" s="7" t="s">
        <v>32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2:14" x14ac:dyDescent="0.25">
      <c r="B35" t="s">
        <v>24</v>
      </c>
      <c r="C35" s="5">
        <v>696</v>
      </c>
      <c r="D35" s="5">
        <v>719</v>
      </c>
      <c r="E35" s="5">
        <v>733</v>
      </c>
      <c r="F35" s="5">
        <v>935</v>
      </c>
      <c r="G35" s="5">
        <v>1007</v>
      </c>
      <c r="H35" s="5">
        <v>1234</v>
      </c>
      <c r="I35" s="5">
        <v>1278</v>
      </c>
      <c r="J35" s="5">
        <v>1616</v>
      </c>
      <c r="K35" s="5">
        <v>2316</v>
      </c>
      <c r="L35" s="5">
        <v>2319</v>
      </c>
      <c r="M35" s="5">
        <v>2180</v>
      </c>
    </row>
    <row r="36" spans="2:14" x14ac:dyDescent="0.25">
      <c r="B36" t="s">
        <v>34</v>
      </c>
      <c r="C36" s="5">
        <v>486</v>
      </c>
      <c r="D36" s="5">
        <v>535</v>
      </c>
      <c r="E36" s="5">
        <v>545</v>
      </c>
      <c r="F36" s="5">
        <v>578</v>
      </c>
      <c r="G36" s="5">
        <v>692</v>
      </c>
      <c r="H36" s="5">
        <v>671</v>
      </c>
      <c r="I36" s="5">
        <v>714</v>
      </c>
      <c r="J36" s="5">
        <v>1020</v>
      </c>
      <c r="K36" s="5">
        <v>1054</v>
      </c>
      <c r="L36" s="5">
        <v>1243</v>
      </c>
      <c r="M36" s="5">
        <v>1302</v>
      </c>
    </row>
    <row r="37" spans="2:14" x14ac:dyDescent="0.25">
      <c r="B37" t="s">
        <v>25</v>
      </c>
      <c r="C37" s="5">
        <v>184</v>
      </c>
      <c r="D37" s="5">
        <v>170</v>
      </c>
      <c r="E37" s="5">
        <v>105</v>
      </c>
      <c r="F37" s="5">
        <v>102</v>
      </c>
      <c r="G37" s="5">
        <v>205</v>
      </c>
      <c r="H37" s="5">
        <v>238</v>
      </c>
      <c r="I37" s="5">
        <v>220</v>
      </c>
      <c r="J37" s="5">
        <v>440</v>
      </c>
      <c r="K37" s="5">
        <v>313</v>
      </c>
      <c r="L37" s="5">
        <v>245</v>
      </c>
      <c r="M37" s="5">
        <v>451</v>
      </c>
    </row>
    <row r="38" spans="2:14" x14ac:dyDescent="0.25">
      <c r="B38" t="s">
        <v>26</v>
      </c>
      <c r="C38" s="5">
        <v>0</v>
      </c>
      <c r="D38" s="5">
        <v>0</v>
      </c>
      <c r="E38" s="5">
        <v>8</v>
      </c>
      <c r="F38" s="5">
        <v>11</v>
      </c>
      <c r="G38" s="5">
        <v>9</v>
      </c>
      <c r="H38" s="5">
        <v>11</v>
      </c>
      <c r="I38" s="5">
        <v>12</v>
      </c>
      <c r="J38" s="5">
        <v>13</v>
      </c>
      <c r="K38" s="5">
        <v>12</v>
      </c>
      <c r="L38" s="5">
        <v>26</v>
      </c>
      <c r="M38" s="5">
        <v>26</v>
      </c>
    </row>
    <row r="39" spans="2:14" x14ac:dyDescent="0.25">
      <c r="B39" t="s">
        <v>27</v>
      </c>
      <c r="C39" s="6">
        <v>142</v>
      </c>
      <c r="D39" s="6">
        <v>126</v>
      </c>
      <c r="E39" s="6">
        <v>123</v>
      </c>
      <c r="F39" s="6">
        <v>142</v>
      </c>
      <c r="G39" s="6">
        <v>331</v>
      </c>
      <c r="H39" s="6">
        <v>255</v>
      </c>
      <c r="I39" s="6">
        <v>266</v>
      </c>
      <c r="J39" s="6">
        <v>323</v>
      </c>
      <c r="K39" s="6">
        <v>490</v>
      </c>
      <c r="L39" s="6">
        <v>509</v>
      </c>
      <c r="M39" s="6">
        <v>465</v>
      </c>
    </row>
    <row r="40" spans="2:14" ht="15.75" thickBot="1" x14ac:dyDescent="0.3">
      <c r="B40" s="8" t="s">
        <v>28</v>
      </c>
      <c r="C40" s="14">
        <v>2595</v>
      </c>
      <c r="D40" s="14">
        <v>2716</v>
      </c>
      <c r="E40" s="14">
        <v>2877</v>
      </c>
      <c r="F40" s="14">
        <v>3440</v>
      </c>
      <c r="G40" s="14">
        <v>3943</v>
      </c>
      <c r="H40" s="14">
        <v>4557</v>
      </c>
      <c r="I40" s="14">
        <v>4900</v>
      </c>
      <c r="J40" s="14">
        <v>5918</v>
      </c>
      <c r="K40" s="14">
        <v>7211</v>
      </c>
      <c r="L40" s="14">
        <v>7966</v>
      </c>
      <c r="M40" s="14">
        <v>8368</v>
      </c>
    </row>
    <row r="41" spans="2:14" ht="15.75" thickTop="1" x14ac:dyDescent="0.25"/>
    <row r="43" spans="2:14" x14ac:dyDescent="0.25">
      <c r="B43" s="16" t="s">
        <v>33</v>
      </c>
      <c r="C43" s="17">
        <v>41699</v>
      </c>
      <c r="D43" s="17">
        <v>42064</v>
      </c>
      <c r="E43" s="17">
        <v>42430</v>
      </c>
      <c r="F43" s="17">
        <v>42795</v>
      </c>
      <c r="G43" s="17">
        <v>43160</v>
      </c>
      <c r="H43" s="17">
        <v>43525</v>
      </c>
      <c r="I43" s="17">
        <v>43891</v>
      </c>
      <c r="J43" s="17">
        <v>44256</v>
      </c>
      <c r="K43" s="17">
        <v>44621</v>
      </c>
      <c r="L43" s="17">
        <v>44986</v>
      </c>
      <c r="M43" s="17">
        <v>45352</v>
      </c>
      <c r="N43" s="1"/>
    </row>
    <row r="44" spans="2:14" x14ac:dyDescent="0.25">
      <c r="B44" s="7" t="s">
        <v>36</v>
      </c>
      <c r="M44" s="2"/>
      <c r="N44" s="2"/>
    </row>
    <row r="45" spans="2:14" x14ac:dyDescent="0.25">
      <c r="B45" t="s">
        <v>37</v>
      </c>
      <c r="C45">
        <v>438</v>
      </c>
      <c r="D45">
        <v>524</v>
      </c>
      <c r="E45">
        <v>659</v>
      </c>
      <c r="F45">
        <v>742</v>
      </c>
      <c r="G45">
        <v>827</v>
      </c>
      <c r="H45">
        <v>946</v>
      </c>
      <c r="I45" s="2">
        <v>1087</v>
      </c>
      <c r="J45" s="2">
        <v>1216</v>
      </c>
      <c r="K45" s="2">
        <v>1363</v>
      </c>
      <c r="L45" s="2">
        <v>1543</v>
      </c>
      <c r="M45" s="2">
        <v>1909</v>
      </c>
      <c r="N45" s="2"/>
    </row>
    <row r="46" spans="2:14" x14ac:dyDescent="0.25">
      <c r="B46" t="s">
        <v>38</v>
      </c>
      <c r="C46">
        <v>-101</v>
      </c>
      <c r="D46">
        <v>-49</v>
      </c>
      <c r="E46">
        <v>-44</v>
      </c>
      <c r="F46">
        <v>-34</v>
      </c>
      <c r="G46">
        <v>-114</v>
      </c>
      <c r="H46">
        <v>21</v>
      </c>
      <c r="I46">
        <v>-43</v>
      </c>
      <c r="J46">
        <v>-306</v>
      </c>
      <c r="K46">
        <v>-42</v>
      </c>
      <c r="L46">
        <v>-212</v>
      </c>
      <c r="M46">
        <v>-103</v>
      </c>
    </row>
    <row r="47" spans="2:14" x14ac:dyDescent="0.25">
      <c r="B47" t="s">
        <v>39</v>
      </c>
      <c r="C47">
        <v>-60</v>
      </c>
      <c r="D47">
        <v>-24</v>
      </c>
      <c r="E47">
        <v>-39</v>
      </c>
      <c r="F47">
        <v>-203</v>
      </c>
      <c r="G47">
        <v>-72</v>
      </c>
      <c r="H47">
        <v>-226</v>
      </c>
      <c r="I47">
        <v>-45</v>
      </c>
      <c r="J47">
        <v>-338</v>
      </c>
      <c r="K47">
        <v>-700</v>
      </c>
      <c r="L47">
        <v>-3</v>
      </c>
      <c r="M47">
        <v>139</v>
      </c>
    </row>
    <row r="48" spans="2:14" x14ac:dyDescent="0.25">
      <c r="B48" t="s">
        <v>40</v>
      </c>
      <c r="C48">
        <v>136</v>
      </c>
      <c r="D48">
        <v>15</v>
      </c>
      <c r="E48">
        <v>132</v>
      </c>
      <c r="F48">
        <v>92</v>
      </c>
      <c r="G48">
        <v>194</v>
      </c>
      <c r="H48">
        <v>46</v>
      </c>
      <c r="I48">
        <v>63</v>
      </c>
      <c r="J48">
        <v>433</v>
      </c>
      <c r="K48">
        <v>314</v>
      </c>
      <c r="L48">
        <v>-37</v>
      </c>
      <c r="M48">
        <v>-83</v>
      </c>
    </row>
    <row r="49" spans="2:14" x14ac:dyDescent="0.25">
      <c r="B49" t="s">
        <v>41</v>
      </c>
      <c r="C49">
        <v>0</v>
      </c>
      <c r="D49">
        <v>53</v>
      </c>
      <c r="E49">
        <v>0</v>
      </c>
      <c r="F49">
        <v>2</v>
      </c>
      <c r="G49">
        <v>4</v>
      </c>
      <c r="H49">
        <v>-1</v>
      </c>
      <c r="I49">
        <v>-5</v>
      </c>
      <c r="J49">
        <v>-30</v>
      </c>
      <c r="K49">
        <v>-8</v>
      </c>
      <c r="L49">
        <v>-41</v>
      </c>
      <c r="M49">
        <v>15</v>
      </c>
    </row>
    <row r="50" spans="2:14" x14ac:dyDescent="0.25">
      <c r="B50" t="s">
        <v>42</v>
      </c>
      <c r="C50">
        <v>0</v>
      </c>
      <c r="D50">
        <v>16</v>
      </c>
      <c r="E50">
        <v>65</v>
      </c>
      <c r="F50">
        <v>16</v>
      </c>
      <c r="G50">
        <v>-140</v>
      </c>
      <c r="H50">
        <v>69</v>
      </c>
      <c r="I50">
        <v>-71</v>
      </c>
      <c r="J50">
        <v>72</v>
      </c>
      <c r="K50">
        <v>-62</v>
      </c>
      <c r="L50">
        <v>35</v>
      </c>
      <c r="M50">
        <v>61</v>
      </c>
    </row>
    <row r="51" spans="2:14" x14ac:dyDescent="0.25">
      <c r="B51" t="s">
        <v>43</v>
      </c>
      <c r="C51">
        <v>-26</v>
      </c>
      <c r="D51">
        <v>12</v>
      </c>
      <c r="E51">
        <v>114</v>
      </c>
      <c r="F51">
        <v>-128</v>
      </c>
      <c r="G51">
        <v>-128</v>
      </c>
      <c r="H51">
        <v>-92</v>
      </c>
      <c r="I51">
        <v>-100</v>
      </c>
      <c r="J51">
        <v>-168</v>
      </c>
      <c r="K51">
        <v>-498</v>
      </c>
      <c r="L51">
        <v>-259</v>
      </c>
      <c r="M51">
        <v>30</v>
      </c>
    </row>
    <row r="52" spans="2:14" x14ac:dyDescent="0.25">
      <c r="B52" t="s">
        <v>44</v>
      </c>
      <c r="C52">
        <v>-102</v>
      </c>
      <c r="D52">
        <v>-122</v>
      </c>
      <c r="E52">
        <v>-178</v>
      </c>
      <c r="F52">
        <v>-220</v>
      </c>
      <c r="G52">
        <v>-277</v>
      </c>
      <c r="H52">
        <v>-243</v>
      </c>
      <c r="I52">
        <v>-263</v>
      </c>
      <c r="J52">
        <v>-252</v>
      </c>
      <c r="K52">
        <v>-299</v>
      </c>
      <c r="L52">
        <v>-308</v>
      </c>
      <c r="M52">
        <v>-349</v>
      </c>
    </row>
    <row r="54" spans="2:14" x14ac:dyDescent="0.25">
      <c r="B54" s="7" t="s">
        <v>45</v>
      </c>
    </row>
    <row r="55" spans="2:14" x14ac:dyDescent="0.25">
      <c r="B55" t="s">
        <v>46</v>
      </c>
      <c r="C55">
        <v>-243</v>
      </c>
      <c r="D55">
        <v>-162</v>
      </c>
      <c r="E55">
        <v>-122</v>
      </c>
      <c r="F55">
        <v>-269</v>
      </c>
      <c r="G55">
        <v>-293</v>
      </c>
      <c r="H55">
        <v>-293</v>
      </c>
      <c r="I55">
        <v>-435</v>
      </c>
      <c r="J55">
        <v>-186</v>
      </c>
      <c r="K55">
        <v>-774</v>
      </c>
      <c r="L55">
        <v>-748</v>
      </c>
      <c r="M55">
        <v>-275</v>
      </c>
    </row>
    <row r="56" spans="2:14" x14ac:dyDescent="0.25">
      <c r="B56" t="s">
        <v>47</v>
      </c>
      <c r="C56">
        <v>1</v>
      </c>
      <c r="D56">
        <v>1</v>
      </c>
      <c r="E56">
        <v>4</v>
      </c>
      <c r="F56">
        <v>4</v>
      </c>
      <c r="G56">
        <v>3</v>
      </c>
      <c r="H56">
        <v>2</v>
      </c>
      <c r="I56">
        <v>4</v>
      </c>
      <c r="J56">
        <v>1</v>
      </c>
      <c r="K56">
        <v>14</v>
      </c>
      <c r="L56">
        <v>4</v>
      </c>
      <c r="M56">
        <v>4</v>
      </c>
    </row>
    <row r="57" spans="2:14" x14ac:dyDescent="0.25">
      <c r="B57" t="s">
        <v>48</v>
      </c>
      <c r="C57">
        <v>-90</v>
      </c>
      <c r="D57">
        <v>-758</v>
      </c>
      <c r="E57">
        <v>-148</v>
      </c>
      <c r="F57" s="2">
        <v>-4094</v>
      </c>
      <c r="G57" s="2">
        <v>-1988</v>
      </c>
      <c r="H57" s="2">
        <v>-2130</v>
      </c>
      <c r="I57" s="2">
        <v>-3208</v>
      </c>
      <c r="J57">
        <v>-890</v>
      </c>
      <c r="K57" s="2">
        <v>-1063</v>
      </c>
      <c r="L57">
        <v>-751</v>
      </c>
      <c r="M57" s="2">
        <v>-1597</v>
      </c>
      <c r="N57" s="2"/>
    </row>
    <row r="58" spans="2:14" x14ac:dyDescent="0.25">
      <c r="B58" t="s">
        <v>49</v>
      </c>
      <c r="C58">
        <v>11</v>
      </c>
      <c r="D58">
        <v>720</v>
      </c>
      <c r="E58">
        <v>0</v>
      </c>
      <c r="F58" s="2">
        <v>4056</v>
      </c>
      <c r="G58" s="2">
        <v>2150</v>
      </c>
      <c r="H58" s="2">
        <v>2126</v>
      </c>
      <c r="I58" s="2">
        <v>3297</v>
      </c>
      <c r="J58">
        <v>869</v>
      </c>
      <c r="K58" s="2">
        <v>1193</v>
      </c>
      <c r="L58">
        <v>788</v>
      </c>
      <c r="M58" s="2">
        <v>1572</v>
      </c>
      <c r="N58" s="2"/>
    </row>
    <row r="59" spans="2:14" x14ac:dyDescent="0.25">
      <c r="B59" t="s">
        <v>50</v>
      </c>
      <c r="C59">
        <v>21</v>
      </c>
      <c r="D59">
        <v>15</v>
      </c>
      <c r="E59">
        <v>12</v>
      </c>
      <c r="F59">
        <v>5</v>
      </c>
      <c r="G59">
        <v>6</v>
      </c>
      <c r="H59">
        <v>18</v>
      </c>
      <c r="I59">
        <v>17</v>
      </c>
      <c r="J59">
        <v>14</v>
      </c>
      <c r="K59">
        <v>23</v>
      </c>
      <c r="L59">
        <v>13</v>
      </c>
      <c r="M59">
        <v>16</v>
      </c>
    </row>
    <row r="60" spans="2:14" x14ac:dyDescent="0.25">
      <c r="B60" t="s">
        <v>51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4</v>
      </c>
      <c r="K60">
        <v>3</v>
      </c>
      <c r="L60">
        <v>4</v>
      </c>
      <c r="M60">
        <v>2</v>
      </c>
    </row>
    <row r="61" spans="2:14" x14ac:dyDescent="0.25">
      <c r="B61" t="s">
        <v>52</v>
      </c>
      <c r="C61">
        <v>-1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2:14" x14ac:dyDescent="0.25">
      <c r="B62" t="s">
        <v>53</v>
      </c>
      <c r="C62">
        <v>0</v>
      </c>
      <c r="D62">
        <v>0</v>
      </c>
      <c r="E62">
        <v>-6</v>
      </c>
      <c r="F62">
        <v>-57</v>
      </c>
      <c r="G62">
        <v>0</v>
      </c>
      <c r="H62">
        <v>0</v>
      </c>
      <c r="I62">
        <v>0</v>
      </c>
      <c r="J62">
        <v>-20</v>
      </c>
      <c r="K62">
        <v>0</v>
      </c>
      <c r="L62">
        <v>0</v>
      </c>
      <c r="M62">
        <v>0</v>
      </c>
    </row>
    <row r="63" spans="2:14" x14ac:dyDescent="0.25">
      <c r="B63" t="s">
        <v>54</v>
      </c>
      <c r="C63">
        <v>0</v>
      </c>
      <c r="D63">
        <v>0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2:14" x14ac:dyDescent="0.25">
      <c r="B64" t="s">
        <v>55</v>
      </c>
      <c r="C64">
        <v>0</v>
      </c>
      <c r="D64">
        <v>0</v>
      </c>
      <c r="E64">
        <v>0</v>
      </c>
      <c r="F64">
        <v>0</v>
      </c>
      <c r="G64">
        <v>0</v>
      </c>
      <c r="H64">
        <v>-41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2:14" x14ac:dyDescent="0.25">
      <c r="B65" t="s">
        <v>56</v>
      </c>
      <c r="C65">
        <v>0</v>
      </c>
      <c r="D65">
        <v>0</v>
      </c>
      <c r="E65">
        <v>0</v>
      </c>
      <c r="F65">
        <v>46</v>
      </c>
      <c r="G65">
        <v>-63</v>
      </c>
      <c r="H65">
        <v>-61</v>
      </c>
      <c r="I65">
        <v>102</v>
      </c>
      <c r="J65">
        <v>-250</v>
      </c>
      <c r="K65">
        <v>83</v>
      </c>
      <c r="L65">
        <v>90</v>
      </c>
      <c r="M65">
        <v>-120</v>
      </c>
    </row>
    <row r="67" spans="2:14" x14ac:dyDescent="0.25">
      <c r="B67" s="7" t="s">
        <v>57</v>
      </c>
      <c r="M67" s="2"/>
    </row>
    <row r="68" spans="2:14" x14ac:dyDescent="0.25">
      <c r="B68" t="s">
        <v>58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2:14" x14ac:dyDescent="0.25">
      <c r="B69" t="s">
        <v>59</v>
      </c>
      <c r="C69">
        <v>96</v>
      </c>
      <c r="D69">
        <v>10</v>
      </c>
      <c r="E69">
        <v>0</v>
      </c>
      <c r="F69" s="2">
        <v>1131</v>
      </c>
      <c r="G69" s="2">
        <v>2578</v>
      </c>
      <c r="H69" s="2">
        <v>3242</v>
      </c>
      <c r="I69" s="2">
        <v>3538</v>
      </c>
      <c r="J69" s="2">
        <v>1457</v>
      </c>
      <c r="K69" s="2">
        <v>3114</v>
      </c>
      <c r="L69" s="2">
        <v>8414</v>
      </c>
      <c r="M69" s="2">
        <v>6465</v>
      </c>
    </row>
    <row r="70" spans="2:14" x14ac:dyDescent="0.25">
      <c r="B70" t="s">
        <v>60</v>
      </c>
      <c r="C70">
        <v>-43</v>
      </c>
      <c r="D70">
        <v>-24</v>
      </c>
      <c r="E70">
        <v>-232</v>
      </c>
      <c r="F70" s="2">
        <v>-1053</v>
      </c>
      <c r="G70" s="2">
        <v>-2659</v>
      </c>
      <c r="H70" s="2">
        <v>-3123</v>
      </c>
      <c r="I70" s="2">
        <v>-3437</v>
      </c>
      <c r="J70" s="2">
        <v>-1582</v>
      </c>
      <c r="K70" s="2">
        <v>-2822</v>
      </c>
      <c r="L70" s="2">
        <v>-8314</v>
      </c>
      <c r="M70" s="2">
        <v>-7027</v>
      </c>
    </row>
    <row r="71" spans="2:14" x14ac:dyDescent="0.25">
      <c r="B71" t="s">
        <v>61</v>
      </c>
      <c r="C71">
        <v>-42</v>
      </c>
      <c r="D71">
        <v>-45</v>
      </c>
      <c r="E71">
        <v>-27</v>
      </c>
      <c r="F71">
        <v>-16</v>
      </c>
      <c r="G71">
        <v>-25</v>
      </c>
      <c r="H71">
        <v>-30</v>
      </c>
      <c r="I71">
        <v>-31</v>
      </c>
      <c r="J71">
        <v>-25</v>
      </c>
      <c r="K71">
        <v>-23</v>
      </c>
      <c r="L71">
        <v>-61</v>
      </c>
      <c r="M71">
        <v>-36</v>
      </c>
    </row>
    <row r="72" spans="2:14" x14ac:dyDescent="0.25">
      <c r="B72" t="s">
        <v>62</v>
      </c>
      <c r="C72">
        <v>-62</v>
      </c>
      <c r="D72">
        <v>-138</v>
      </c>
      <c r="E72">
        <v>-108</v>
      </c>
      <c r="F72">
        <v>-117</v>
      </c>
      <c r="G72">
        <v>-205</v>
      </c>
      <c r="H72">
        <v>-211</v>
      </c>
      <c r="I72">
        <v>-382</v>
      </c>
      <c r="J72">
        <v>-29</v>
      </c>
      <c r="K72">
        <v>-272</v>
      </c>
      <c r="L72">
        <v>-301</v>
      </c>
      <c r="M72">
        <v>-311</v>
      </c>
    </row>
    <row r="73" spans="2:14" x14ac:dyDescent="0.25">
      <c r="B73" t="s">
        <v>63</v>
      </c>
      <c r="C73">
        <v>0</v>
      </c>
      <c r="D73">
        <v>0</v>
      </c>
      <c r="E73">
        <v>0</v>
      </c>
      <c r="F73">
        <v>0</v>
      </c>
      <c r="G73">
        <v>0</v>
      </c>
      <c r="H73">
        <v>-80</v>
      </c>
      <c r="I73">
        <v>-118</v>
      </c>
      <c r="J73">
        <v>-75</v>
      </c>
      <c r="K73">
        <v>-76</v>
      </c>
      <c r="L73">
        <v>-100</v>
      </c>
      <c r="M73">
        <v>-160</v>
      </c>
    </row>
    <row r="74" spans="2:14" x14ac:dyDescent="0.25">
      <c r="B74" t="s">
        <v>64</v>
      </c>
      <c r="C74">
        <v>0</v>
      </c>
      <c r="D74">
        <v>0</v>
      </c>
      <c r="E74">
        <v>0</v>
      </c>
      <c r="F74">
        <v>-27</v>
      </c>
      <c r="G74">
        <v>110</v>
      </c>
      <c r="H74">
        <v>-57</v>
      </c>
      <c r="I74">
        <v>-49</v>
      </c>
      <c r="J74">
        <v>-26</v>
      </c>
      <c r="K74">
        <v>0</v>
      </c>
      <c r="L74">
        <v>0</v>
      </c>
      <c r="M74">
        <v>0</v>
      </c>
    </row>
    <row r="75" spans="2:14" ht="15.75" thickBot="1" x14ac:dyDescent="0.3">
      <c r="B75" s="8" t="s">
        <v>65</v>
      </c>
      <c r="C75" s="15">
        <v>-43</v>
      </c>
      <c r="D75" s="15">
        <v>32</v>
      </c>
      <c r="E75" s="15">
        <v>-32</v>
      </c>
      <c r="F75" s="15">
        <v>4</v>
      </c>
      <c r="G75" s="15">
        <v>38</v>
      </c>
      <c r="H75" s="15">
        <v>-27</v>
      </c>
      <c r="I75" s="15">
        <v>22</v>
      </c>
      <c r="J75" s="15">
        <v>57</v>
      </c>
      <c r="K75" s="15">
        <v>-33</v>
      </c>
      <c r="L75" s="15">
        <v>13</v>
      </c>
      <c r="M75" s="15">
        <v>124</v>
      </c>
    </row>
    <row r="76" spans="2:14" ht="15.75" thickTop="1" x14ac:dyDescent="0.25"/>
    <row r="78" spans="2:14" x14ac:dyDescent="0.25">
      <c r="C78" s="1">
        <v>41699</v>
      </c>
      <c r="D78" s="1">
        <v>42064</v>
      </c>
      <c r="E78" s="1">
        <v>42430</v>
      </c>
      <c r="F78" s="1">
        <v>42795</v>
      </c>
      <c r="G78" s="1">
        <v>43160</v>
      </c>
      <c r="H78" s="1">
        <v>43525</v>
      </c>
      <c r="I78" s="1">
        <v>43891</v>
      </c>
      <c r="J78" s="1">
        <v>44256</v>
      </c>
      <c r="K78" s="1">
        <v>44621</v>
      </c>
      <c r="L78" s="1">
        <v>44986</v>
      </c>
      <c r="M78" s="1">
        <v>45352</v>
      </c>
      <c r="N78" s="1"/>
    </row>
    <row r="79" spans="2:14" x14ac:dyDescent="0.25">
      <c r="B79" s="7" t="s">
        <v>75</v>
      </c>
      <c r="C79" s="2">
        <v>3732</v>
      </c>
      <c r="D79" s="2">
        <v>4170</v>
      </c>
      <c r="E79" s="2">
        <v>4223</v>
      </c>
      <c r="F79" s="2">
        <v>4552</v>
      </c>
      <c r="G79" s="2">
        <v>5166</v>
      </c>
      <c r="H79" s="2">
        <v>6062</v>
      </c>
      <c r="I79" s="2">
        <v>6366</v>
      </c>
      <c r="J79" s="2">
        <v>6818</v>
      </c>
      <c r="K79" s="2">
        <v>8762</v>
      </c>
      <c r="L79" s="2">
        <v>10568</v>
      </c>
      <c r="M79" s="2">
        <v>11199</v>
      </c>
      <c r="N79" s="2"/>
    </row>
    <row r="80" spans="2:14" x14ac:dyDescent="0.25">
      <c r="B80" s="7" t="s">
        <v>76</v>
      </c>
      <c r="C80" s="2">
        <v>3300</v>
      </c>
      <c r="D80" s="2">
        <v>3659</v>
      </c>
      <c r="E80" s="2">
        <v>3578</v>
      </c>
      <c r="F80" s="2">
        <v>3833</v>
      </c>
      <c r="G80" s="2">
        <v>4359</v>
      </c>
      <c r="H80" s="2">
        <v>5127</v>
      </c>
      <c r="I80" s="2">
        <v>5313</v>
      </c>
      <c r="J80" s="2">
        <v>5635</v>
      </c>
      <c r="K80" s="2">
        <v>7431</v>
      </c>
      <c r="L80" s="2">
        <v>9090</v>
      </c>
      <c r="M80" s="2">
        <v>9338</v>
      </c>
      <c r="N80" s="2"/>
    </row>
    <row r="81" spans="2:14" x14ac:dyDescent="0.25">
      <c r="B81" s="7" t="s">
        <v>67</v>
      </c>
      <c r="C81">
        <v>431</v>
      </c>
      <c r="D81">
        <v>511</v>
      </c>
      <c r="E81">
        <v>645</v>
      </c>
      <c r="F81">
        <v>719</v>
      </c>
      <c r="G81">
        <v>807</v>
      </c>
      <c r="H81">
        <v>935</v>
      </c>
      <c r="I81" s="2">
        <v>1053</v>
      </c>
      <c r="J81" s="2">
        <v>1182</v>
      </c>
      <c r="K81" s="2">
        <v>1331</v>
      </c>
      <c r="L81" s="2">
        <v>1478</v>
      </c>
      <c r="M81" s="2">
        <v>1861</v>
      </c>
      <c r="N81" s="2"/>
    </row>
    <row r="82" spans="2:14" x14ac:dyDescent="0.25">
      <c r="B82" s="7" t="s">
        <v>68</v>
      </c>
      <c r="C82" s="19">
        <v>0.12</v>
      </c>
      <c r="D82" s="19">
        <v>0.12</v>
      </c>
      <c r="E82" s="19">
        <v>0.15</v>
      </c>
      <c r="F82" s="19">
        <v>0.16</v>
      </c>
      <c r="G82" s="19">
        <v>0.16</v>
      </c>
      <c r="H82" s="19">
        <v>0.15</v>
      </c>
      <c r="I82" s="19">
        <v>0.17</v>
      </c>
      <c r="J82" s="19">
        <v>0.17</v>
      </c>
      <c r="K82" s="19">
        <v>0.15</v>
      </c>
      <c r="L82" s="19">
        <v>0.14000000000000001</v>
      </c>
      <c r="M82" s="19">
        <v>0.17</v>
      </c>
      <c r="N82" s="19"/>
    </row>
    <row r="83" spans="2:14" x14ac:dyDescent="0.25">
      <c r="B83" s="7" t="s">
        <v>77</v>
      </c>
      <c r="C83">
        <v>36</v>
      </c>
      <c r="D83">
        <v>36</v>
      </c>
      <c r="E83">
        <v>40</v>
      </c>
      <c r="F83">
        <v>108</v>
      </c>
      <c r="G83">
        <v>46</v>
      </c>
      <c r="H83">
        <v>60</v>
      </c>
      <c r="I83">
        <v>69</v>
      </c>
      <c r="J83">
        <v>51</v>
      </c>
      <c r="K83">
        <v>68</v>
      </c>
      <c r="L83">
        <v>48</v>
      </c>
      <c r="M83">
        <v>105</v>
      </c>
    </row>
    <row r="84" spans="2:14" x14ac:dyDescent="0.25">
      <c r="B84" s="7" t="s">
        <v>69</v>
      </c>
      <c r="C84">
        <v>47</v>
      </c>
      <c r="D84">
        <v>50</v>
      </c>
      <c r="E84">
        <v>27</v>
      </c>
      <c r="F84">
        <v>16</v>
      </c>
      <c r="G84">
        <v>25</v>
      </c>
      <c r="H84">
        <v>47</v>
      </c>
      <c r="I84">
        <v>47</v>
      </c>
      <c r="J84">
        <v>44</v>
      </c>
      <c r="K84">
        <v>51</v>
      </c>
      <c r="L84">
        <v>99</v>
      </c>
      <c r="M84">
        <v>78</v>
      </c>
    </row>
    <row r="85" spans="2:14" x14ac:dyDescent="0.25">
      <c r="B85" s="7" t="s">
        <v>70</v>
      </c>
      <c r="C85">
        <v>71</v>
      </c>
      <c r="D85">
        <v>92</v>
      </c>
      <c r="E85">
        <v>99</v>
      </c>
      <c r="F85">
        <v>108</v>
      </c>
      <c r="G85">
        <v>124</v>
      </c>
      <c r="H85">
        <v>182</v>
      </c>
      <c r="I85">
        <v>191</v>
      </c>
      <c r="J85">
        <v>211</v>
      </c>
      <c r="K85">
        <v>227</v>
      </c>
      <c r="L85">
        <v>264</v>
      </c>
      <c r="M85">
        <v>331</v>
      </c>
    </row>
    <row r="86" spans="2:14" x14ac:dyDescent="0.25">
      <c r="B86" s="7" t="s">
        <v>71</v>
      </c>
      <c r="C86">
        <v>350</v>
      </c>
      <c r="D86">
        <v>404</v>
      </c>
      <c r="E86">
        <v>559</v>
      </c>
      <c r="F86">
        <v>703</v>
      </c>
      <c r="G86">
        <v>705</v>
      </c>
      <c r="H86">
        <v>765</v>
      </c>
      <c r="I86">
        <v>883</v>
      </c>
      <c r="J86">
        <v>979</v>
      </c>
      <c r="K86" s="2">
        <v>1122</v>
      </c>
      <c r="L86" s="2">
        <v>1162</v>
      </c>
      <c r="M86" s="2">
        <v>1557</v>
      </c>
      <c r="N86" s="2"/>
    </row>
    <row r="87" spans="2:14" x14ac:dyDescent="0.25">
      <c r="B87" s="7" t="s">
        <v>72</v>
      </c>
      <c r="C87" s="19">
        <v>0.28999999999999998</v>
      </c>
      <c r="D87" s="19">
        <v>0.34</v>
      </c>
      <c r="E87" s="19">
        <v>0.34</v>
      </c>
      <c r="F87" s="19">
        <v>0.33</v>
      </c>
      <c r="G87" s="19">
        <v>0.35</v>
      </c>
      <c r="H87" s="19">
        <v>0.35</v>
      </c>
      <c r="I87" s="19">
        <v>0.26</v>
      </c>
      <c r="J87" s="19">
        <v>0.26</v>
      </c>
      <c r="K87" s="19">
        <v>0.26</v>
      </c>
      <c r="L87" s="19">
        <v>0.26</v>
      </c>
      <c r="M87" s="19">
        <v>0.25</v>
      </c>
      <c r="N87" s="19"/>
    </row>
    <row r="88" spans="2:14" x14ac:dyDescent="0.25">
      <c r="B88" s="7" t="s">
        <v>78</v>
      </c>
      <c r="C88">
        <v>249</v>
      </c>
      <c r="D88">
        <v>265</v>
      </c>
      <c r="E88">
        <v>371</v>
      </c>
      <c r="F88">
        <v>474</v>
      </c>
      <c r="G88">
        <v>461</v>
      </c>
      <c r="H88">
        <v>494</v>
      </c>
      <c r="I88">
        <v>656</v>
      </c>
      <c r="J88">
        <v>720</v>
      </c>
      <c r="K88">
        <v>833</v>
      </c>
      <c r="L88">
        <v>860</v>
      </c>
      <c r="M88" s="2">
        <v>1170</v>
      </c>
      <c r="N88" s="2"/>
    </row>
    <row r="89" spans="2:14" x14ac:dyDescent="0.25">
      <c r="B89" s="7" t="s">
        <v>73</v>
      </c>
      <c r="C89">
        <v>2.14</v>
      </c>
      <c r="D89">
        <v>2.27</v>
      </c>
      <c r="E89">
        <v>3.18</v>
      </c>
      <c r="F89">
        <v>4.07</v>
      </c>
      <c r="G89">
        <v>3.95</v>
      </c>
      <c r="H89">
        <v>4.24</v>
      </c>
      <c r="I89">
        <v>5.64</v>
      </c>
      <c r="J89">
        <v>6.17</v>
      </c>
      <c r="K89">
        <v>7.14</v>
      </c>
      <c r="L89">
        <v>7.37</v>
      </c>
      <c r="M89">
        <v>10.02</v>
      </c>
    </row>
    <row r="90" spans="2:14" x14ac:dyDescent="0.25">
      <c r="B90" s="7" t="s">
        <v>74</v>
      </c>
      <c r="C90" s="19">
        <v>0.31</v>
      </c>
      <c r="D90" s="19">
        <v>0.33</v>
      </c>
      <c r="E90" s="19">
        <v>0.31</v>
      </c>
      <c r="F90" s="19">
        <v>0.36</v>
      </c>
      <c r="G90" s="19">
        <v>0.38</v>
      </c>
      <c r="H90" s="19">
        <v>0.37</v>
      </c>
      <c r="I90" s="19">
        <v>0.32</v>
      </c>
      <c r="J90" s="19">
        <v>0.38</v>
      </c>
      <c r="K90" s="19">
        <v>0.36</v>
      </c>
      <c r="L90" s="19">
        <v>0.36</v>
      </c>
      <c r="M90" s="19">
        <v>0.35</v>
      </c>
      <c r="N90" s="19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G59"/>
  <sheetViews>
    <sheetView showGridLines="0" topLeftCell="A49" workbookViewId="0">
      <selection activeCell="F64" sqref="F64"/>
    </sheetView>
  </sheetViews>
  <sheetFormatPr defaultRowHeight="15" x14ac:dyDescent="0.25"/>
  <cols>
    <col min="1" max="1" width="2.140625" customWidth="1"/>
    <col min="2" max="2" width="32.42578125" bestFit="1" customWidth="1"/>
    <col min="4" max="4" width="20.42578125" bestFit="1" customWidth="1"/>
    <col min="6" max="6" width="14.140625" bestFit="1" customWidth="1"/>
    <col min="7" max="7" width="7.140625" customWidth="1"/>
  </cols>
  <sheetData>
    <row r="2" spans="2:7" x14ac:dyDescent="0.25">
      <c r="B2" s="3" t="s">
        <v>79</v>
      </c>
      <c r="C2" s="4">
        <v>43891</v>
      </c>
      <c r="D2" s="4">
        <v>44256</v>
      </c>
      <c r="E2" s="4">
        <v>44621</v>
      </c>
      <c r="F2" s="4">
        <v>44986</v>
      </c>
      <c r="G2" s="4">
        <v>45352</v>
      </c>
    </row>
    <row r="4" spans="2:7" x14ac:dyDescent="0.25">
      <c r="B4" s="7" t="s">
        <v>80</v>
      </c>
      <c r="C4" s="2"/>
      <c r="D4" s="2"/>
      <c r="E4" s="2"/>
      <c r="F4" s="2"/>
      <c r="G4" s="2"/>
    </row>
    <row r="5" spans="2:7" x14ac:dyDescent="0.25">
      <c r="B5" s="20" t="str">
        <f>'Raw Fs'!B35</f>
        <v>Inventories</v>
      </c>
      <c r="C5" s="21">
        <f>'Raw Fs'!I35</f>
        <v>1278</v>
      </c>
      <c r="D5" s="21">
        <f>'Raw Fs'!J35</f>
        <v>1616</v>
      </c>
      <c r="E5" s="21">
        <f>'Raw Fs'!K35</f>
        <v>2316</v>
      </c>
      <c r="F5" s="21">
        <f>'Raw Fs'!L35</f>
        <v>2319</v>
      </c>
      <c r="G5" s="21">
        <f>'Raw Fs'!M35</f>
        <v>2180</v>
      </c>
    </row>
    <row r="6" spans="2:7" x14ac:dyDescent="0.25">
      <c r="B6" s="20" t="str">
        <f>'Raw Fs'!B36</f>
        <v xml:space="preserve">Trade receivables </v>
      </c>
      <c r="C6" s="21">
        <f>'Raw Fs'!I36</f>
        <v>714</v>
      </c>
      <c r="D6" s="21">
        <f>'Raw Fs'!J36</f>
        <v>1020</v>
      </c>
      <c r="E6" s="21">
        <f>'Raw Fs'!K36</f>
        <v>1054</v>
      </c>
      <c r="F6" s="21">
        <f>'Raw Fs'!L36</f>
        <v>1243</v>
      </c>
      <c r="G6" s="21">
        <f>'Raw Fs'!M36</f>
        <v>1302</v>
      </c>
    </row>
    <row r="7" spans="2:7" x14ac:dyDescent="0.25">
      <c r="B7" s="20" t="str">
        <f>'Raw Fs'!B37</f>
        <v>Cash Equivalents</v>
      </c>
      <c r="C7" s="21">
        <f>'Raw Fs'!I37</f>
        <v>220</v>
      </c>
      <c r="D7" s="21">
        <f>'Raw Fs'!J37</f>
        <v>440</v>
      </c>
      <c r="E7" s="21">
        <f>'Raw Fs'!K37</f>
        <v>313</v>
      </c>
      <c r="F7" s="21">
        <f>'Raw Fs'!L37</f>
        <v>245</v>
      </c>
      <c r="G7" s="21">
        <f>'Raw Fs'!M37</f>
        <v>451</v>
      </c>
    </row>
    <row r="8" spans="2:7" x14ac:dyDescent="0.25">
      <c r="B8" s="20" t="str">
        <f>'Raw Fs'!B38</f>
        <v>Loans n Advances</v>
      </c>
      <c r="C8" s="21">
        <f>'Raw Fs'!I38</f>
        <v>12</v>
      </c>
      <c r="D8" s="21">
        <f>'Raw Fs'!J38</f>
        <v>13</v>
      </c>
      <c r="E8" s="21">
        <f>'Raw Fs'!K38</f>
        <v>12</v>
      </c>
      <c r="F8" s="21">
        <f>'Raw Fs'!L38</f>
        <v>26</v>
      </c>
      <c r="G8" s="21">
        <f>'Raw Fs'!M38</f>
        <v>26</v>
      </c>
    </row>
    <row r="9" spans="2:7" x14ac:dyDescent="0.25">
      <c r="B9" t="str">
        <f>'Raw Fs'!B39</f>
        <v>Other asset items</v>
      </c>
      <c r="C9" s="2">
        <f>'Raw Fs'!I39</f>
        <v>266</v>
      </c>
      <c r="D9" s="2">
        <f>'Raw Fs'!J39</f>
        <v>323</v>
      </c>
      <c r="E9" s="2">
        <f>'Raw Fs'!K39</f>
        <v>490</v>
      </c>
      <c r="F9" s="2">
        <f>'Raw Fs'!L39</f>
        <v>509</v>
      </c>
      <c r="G9" s="2">
        <f>'Raw Fs'!M39</f>
        <v>465</v>
      </c>
    </row>
    <row r="10" spans="2:7" ht="15.75" thickBot="1" x14ac:dyDescent="0.3">
      <c r="B10" s="8" t="s">
        <v>81</v>
      </c>
      <c r="C10" s="22">
        <f>SUM(C5:C9)</f>
        <v>2490</v>
      </c>
      <c r="D10" s="22">
        <f t="shared" ref="D10:G10" si="0">SUM(D5:D9)</f>
        <v>3412</v>
      </c>
      <c r="E10" s="22">
        <f t="shared" si="0"/>
        <v>4185</v>
      </c>
      <c r="F10" s="22">
        <f t="shared" si="0"/>
        <v>4342</v>
      </c>
      <c r="G10" s="22">
        <f t="shared" si="0"/>
        <v>4424</v>
      </c>
    </row>
    <row r="11" spans="2:7" ht="15.75" thickTop="1" x14ac:dyDescent="0.25"/>
    <row r="12" spans="2:7" x14ac:dyDescent="0.25">
      <c r="B12" s="7" t="s">
        <v>82</v>
      </c>
    </row>
    <row r="13" spans="2:7" x14ac:dyDescent="0.25">
      <c r="B13" s="20" t="str">
        <f>'Raw Fs'!B13</f>
        <v>Trade Payables</v>
      </c>
      <c r="C13" s="20">
        <f>'Raw Fs'!I13</f>
        <v>1066</v>
      </c>
      <c r="D13" s="20">
        <f>'Raw Fs'!J13</f>
        <v>1497</v>
      </c>
      <c r="E13" s="20">
        <f>'Raw Fs'!K13</f>
        <v>1803</v>
      </c>
      <c r="F13" s="20">
        <f>'Raw Fs'!L13</f>
        <v>1766</v>
      </c>
      <c r="G13" s="20">
        <f>'Raw Fs'!M13</f>
        <v>1679</v>
      </c>
    </row>
    <row r="14" spans="2:7" x14ac:dyDescent="0.25">
      <c r="B14" s="20" t="str">
        <f>'Raw Fs'!B14</f>
        <v>Advance from Customers</v>
      </c>
      <c r="C14" s="20">
        <f>'Raw Fs'!I14</f>
        <v>17</v>
      </c>
      <c r="D14" s="20">
        <f>'Raw Fs'!J14</f>
        <v>25</v>
      </c>
      <c r="E14" s="20">
        <f>'Raw Fs'!K14</f>
        <v>24</v>
      </c>
      <c r="F14" s="20">
        <f>'Raw Fs'!L14</f>
        <v>25</v>
      </c>
      <c r="G14" s="20">
        <f>'Raw Fs'!M14</f>
        <v>29</v>
      </c>
    </row>
    <row r="15" spans="2:7" x14ac:dyDescent="0.25">
      <c r="B15" t="str">
        <f>'Raw Fs'!B15</f>
        <v>Other liability items</v>
      </c>
      <c r="C15">
        <f>'Raw Fs'!I15</f>
        <v>383</v>
      </c>
      <c r="D15">
        <f>'Raw Fs'!J15</f>
        <v>378</v>
      </c>
      <c r="E15">
        <f>'Raw Fs'!K15</f>
        <v>437</v>
      </c>
      <c r="F15">
        <f>'Raw Fs'!L15</f>
        <v>485</v>
      </c>
      <c r="G15">
        <f>'Raw Fs'!M15</f>
        <v>517</v>
      </c>
    </row>
    <row r="16" spans="2:7" ht="15.75" thickBot="1" x14ac:dyDescent="0.3">
      <c r="B16" s="8" t="s">
        <v>83</v>
      </c>
      <c r="C16" s="8">
        <f>SUM(C13:C15)</f>
        <v>1466</v>
      </c>
      <c r="D16" s="8">
        <f t="shared" ref="D16:G16" si="1">SUM(D13:D15)</f>
        <v>1900</v>
      </c>
      <c r="E16" s="8">
        <f t="shared" si="1"/>
        <v>2264</v>
      </c>
      <c r="F16" s="8">
        <f t="shared" si="1"/>
        <v>2276</v>
      </c>
      <c r="G16" s="8">
        <f t="shared" si="1"/>
        <v>2225</v>
      </c>
    </row>
    <row r="17" spans="1:7" ht="15.75" thickTop="1" x14ac:dyDescent="0.25"/>
    <row r="18" spans="1:7" ht="15.75" thickBot="1" x14ac:dyDescent="0.3">
      <c r="A18" t="s">
        <v>87</v>
      </c>
      <c r="B18" s="8" t="s">
        <v>84</v>
      </c>
      <c r="C18" s="22">
        <f>C10-C16</f>
        <v>1024</v>
      </c>
      <c r="D18" s="22">
        <f t="shared" ref="D18:G18" si="2">D10-D16</f>
        <v>1512</v>
      </c>
      <c r="E18" s="22">
        <f t="shared" si="2"/>
        <v>1921</v>
      </c>
      <c r="F18" s="22">
        <f t="shared" si="2"/>
        <v>2066</v>
      </c>
      <c r="G18" s="22">
        <f t="shared" si="2"/>
        <v>2199</v>
      </c>
    </row>
    <row r="19" spans="1:7" ht="15.75" thickTop="1" x14ac:dyDescent="0.25"/>
    <row r="20" spans="1:7" x14ac:dyDescent="0.25">
      <c r="B20" s="7" t="s">
        <v>85</v>
      </c>
      <c r="C20" s="7"/>
      <c r="D20" s="7"/>
      <c r="E20" s="7"/>
      <c r="F20" s="7"/>
      <c r="G20" s="7"/>
    </row>
    <row r="21" spans="1:7" x14ac:dyDescent="0.25">
      <c r="B21" s="20" t="str">
        <f>'Raw Fs'!B19</f>
        <v>Land</v>
      </c>
      <c r="C21" s="20">
        <f>'Raw Fs'!C19</f>
        <v>21</v>
      </c>
      <c r="D21" s="20">
        <f>'Raw Fs'!D19</f>
        <v>23</v>
      </c>
      <c r="E21" s="20">
        <f>'Raw Fs'!E19</f>
        <v>20</v>
      </c>
      <c r="F21" s="20">
        <f>'Raw Fs'!F19</f>
        <v>21</v>
      </c>
      <c r="G21" s="20">
        <f>'Raw Fs'!G19</f>
        <v>22</v>
      </c>
    </row>
    <row r="22" spans="1:7" x14ac:dyDescent="0.25">
      <c r="B22" s="20" t="str">
        <f>'Raw Fs'!B20</f>
        <v>Building</v>
      </c>
      <c r="C22" s="20">
        <f>'Raw Fs'!C20</f>
        <v>289</v>
      </c>
      <c r="D22" s="20">
        <f>'Raw Fs'!D20</f>
        <v>344</v>
      </c>
      <c r="E22" s="20">
        <f>'Raw Fs'!E20</f>
        <v>325</v>
      </c>
      <c r="F22" s="20">
        <f>'Raw Fs'!F20</f>
        <v>405</v>
      </c>
      <c r="G22" s="20">
        <f>'Raw Fs'!G20</f>
        <v>426</v>
      </c>
    </row>
    <row r="23" spans="1:7" x14ac:dyDescent="0.25">
      <c r="B23" s="20" t="str">
        <f>'Raw Fs'!B21</f>
        <v>Plant Machinery</v>
      </c>
      <c r="C23" s="20">
        <f>'Raw Fs'!C21</f>
        <v>610</v>
      </c>
      <c r="D23" s="20">
        <f>'Raw Fs'!D21</f>
        <v>709</v>
      </c>
      <c r="E23" s="20">
        <f>'Raw Fs'!E21</f>
        <v>436</v>
      </c>
      <c r="F23" s="20">
        <f>'Raw Fs'!F21</f>
        <v>607</v>
      </c>
      <c r="G23" s="20">
        <f>'Raw Fs'!G21</f>
        <v>729</v>
      </c>
    </row>
    <row r="24" spans="1:7" x14ac:dyDescent="0.25">
      <c r="B24" s="20" t="str">
        <f>'Raw Fs'!B22</f>
        <v>Equipments</v>
      </c>
      <c r="C24" s="20">
        <f>'Raw Fs'!C22</f>
        <v>74</v>
      </c>
      <c r="D24" s="20">
        <f>'Raw Fs'!D22</f>
        <v>9</v>
      </c>
      <c r="E24" s="20">
        <f>'Raw Fs'!E22</f>
        <v>7</v>
      </c>
      <c r="F24" s="20">
        <f>'Raw Fs'!F22</f>
        <v>9</v>
      </c>
      <c r="G24" s="20">
        <f>'Raw Fs'!G22</f>
        <v>11</v>
      </c>
    </row>
    <row r="25" spans="1:7" x14ac:dyDescent="0.25">
      <c r="B25" s="20" t="str">
        <f>'Raw Fs'!B23</f>
        <v>Computers</v>
      </c>
      <c r="C25" s="20">
        <f>'Raw Fs'!C23</f>
        <v>0</v>
      </c>
      <c r="D25" s="20">
        <f>'Raw Fs'!D23</f>
        <v>69</v>
      </c>
      <c r="E25" s="20">
        <f>'Raw Fs'!E23</f>
        <v>25</v>
      </c>
      <c r="F25" s="20">
        <f>'Raw Fs'!F23</f>
        <v>36</v>
      </c>
      <c r="G25" s="20">
        <f>'Raw Fs'!G23</f>
        <v>47</v>
      </c>
    </row>
    <row r="26" spans="1:7" x14ac:dyDescent="0.25">
      <c r="B26" s="20" t="str">
        <f>'Raw Fs'!B24</f>
        <v>Furniture n fittings</v>
      </c>
      <c r="C26" s="20">
        <f>'Raw Fs'!C24</f>
        <v>33</v>
      </c>
      <c r="D26" s="20">
        <f>'Raw Fs'!D24</f>
        <v>36</v>
      </c>
      <c r="E26" s="20">
        <f>'Raw Fs'!E24</f>
        <v>22</v>
      </c>
      <c r="F26" s="20">
        <f>'Raw Fs'!F24</f>
        <v>26</v>
      </c>
      <c r="G26" s="20">
        <f>'Raw Fs'!G24</f>
        <v>37</v>
      </c>
    </row>
    <row r="27" spans="1:7" x14ac:dyDescent="0.25">
      <c r="B27" s="20" t="str">
        <f>'Raw Fs'!B25</f>
        <v>Vehicles</v>
      </c>
      <c r="C27" s="20">
        <f>'Raw Fs'!C25</f>
        <v>24</v>
      </c>
      <c r="D27" s="20">
        <f>'Raw Fs'!D25</f>
        <v>25</v>
      </c>
      <c r="E27" s="20">
        <f>'Raw Fs'!E25</f>
        <v>13</v>
      </c>
      <c r="F27" s="20">
        <f>'Raw Fs'!F25</f>
        <v>14</v>
      </c>
      <c r="G27" s="20">
        <f>'Raw Fs'!G25</f>
        <v>19</v>
      </c>
    </row>
    <row r="28" spans="1:7" x14ac:dyDescent="0.25">
      <c r="B28" s="20" t="str">
        <f>'Raw Fs'!B26</f>
        <v>Intangible Assets</v>
      </c>
      <c r="C28" s="20">
        <f>'Raw Fs'!C26</f>
        <v>224</v>
      </c>
      <c r="D28" s="20">
        <f>'Raw Fs'!D26</f>
        <v>198</v>
      </c>
      <c r="E28" s="20">
        <f>'Raw Fs'!E26</f>
        <v>186</v>
      </c>
      <c r="F28" s="20">
        <f>'Raw Fs'!F26</f>
        <v>179</v>
      </c>
      <c r="G28" s="20">
        <f>'Raw Fs'!G26</f>
        <v>265</v>
      </c>
    </row>
    <row r="29" spans="1:7" x14ac:dyDescent="0.25">
      <c r="B29" t="str">
        <f>'Raw Fs'!B27</f>
        <v>Other fixed assets</v>
      </c>
      <c r="C29">
        <f>'Raw Fs'!C27</f>
        <v>47</v>
      </c>
      <c r="D29">
        <f>'Raw Fs'!D27</f>
        <v>48</v>
      </c>
      <c r="E29">
        <f>'Raw Fs'!E27</f>
        <v>14</v>
      </c>
      <c r="F29">
        <f>'Raw Fs'!F27</f>
        <v>12</v>
      </c>
      <c r="G29">
        <f>'Raw Fs'!G27</f>
        <v>16</v>
      </c>
    </row>
    <row r="30" spans="1:7" x14ac:dyDescent="0.25">
      <c r="B30" s="23" t="str">
        <f>'Raw Fs'!B28</f>
        <v>Gross Block</v>
      </c>
      <c r="C30" s="24">
        <f>'Raw Fs'!C28</f>
        <v>1322</v>
      </c>
      <c r="D30" s="24">
        <f>'Raw Fs'!D28</f>
        <v>1461</v>
      </c>
      <c r="E30" s="24">
        <f>'Raw Fs'!E28</f>
        <v>1048</v>
      </c>
      <c r="F30" s="24">
        <f>'Raw Fs'!F28</f>
        <v>1310</v>
      </c>
      <c r="G30" s="24">
        <f>'Raw Fs'!G28</f>
        <v>1571</v>
      </c>
    </row>
    <row r="31" spans="1:7" x14ac:dyDescent="0.25">
      <c r="B31" s="12" t="str">
        <f>'Raw Fs'!B29</f>
        <v>Accumulated Depreciation</v>
      </c>
      <c r="C31" s="25">
        <f>'Raw Fs'!C29</f>
        <v>458</v>
      </c>
      <c r="D31" s="25">
        <f>'Raw Fs'!D29</f>
        <v>531</v>
      </c>
      <c r="E31" s="25">
        <f>'Raw Fs'!E29</f>
        <v>85</v>
      </c>
      <c r="F31" s="25">
        <f>'Raw Fs'!F29</f>
        <v>174</v>
      </c>
      <c r="G31" s="25">
        <f>'Raw Fs'!G29</f>
        <v>304</v>
      </c>
    </row>
    <row r="32" spans="1:7" ht="15.75" thickBot="1" x14ac:dyDescent="0.3">
      <c r="A32" t="s">
        <v>87</v>
      </c>
      <c r="B32" s="8" t="s">
        <v>86</v>
      </c>
      <c r="C32" s="8">
        <f>'Raw Fs'!C30</f>
        <v>864</v>
      </c>
      <c r="D32" s="8">
        <f>'Raw Fs'!D30</f>
        <v>930</v>
      </c>
      <c r="E32" s="8">
        <f>'Raw Fs'!E30</f>
        <v>963</v>
      </c>
      <c r="F32" s="8">
        <f>'Raw Fs'!F30</f>
        <v>1136</v>
      </c>
      <c r="G32" s="8">
        <f>'Raw Fs'!G30</f>
        <v>1267</v>
      </c>
    </row>
    <row r="33" spans="1:7" ht="15.75" thickTop="1" x14ac:dyDescent="0.25"/>
    <row r="34" spans="1:7" x14ac:dyDescent="0.25">
      <c r="A34" t="s">
        <v>87</v>
      </c>
      <c r="B34" s="31" t="s">
        <v>88</v>
      </c>
      <c r="C34" s="32">
        <f>C18+C32</f>
        <v>1888</v>
      </c>
      <c r="D34" s="32">
        <f t="shared" ref="D34:G34" si="3">D18+D32</f>
        <v>2442</v>
      </c>
      <c r="E34" s="32">
        <f t="shared" si="3"/>
        <v>2884</v>
      </c>
      <c r="F34" s="32">
        <f t="shared" si="3"/>
        <v>3202</v>
      </c>
      <c r="G34" s="32">
        <f t="shared" si="3"/>
        <v>3466</v>
      </c>
    </row>
    <row r="35" spans="1:7" x14ac:dyDescent="0.25">
      <c r="B35" s="31" t="s">
        <v>89</v>
      </c>
      <c r="C35" s="31">
        <f>'Raw Fs'!I86+'Raw Fs'!I84</f>
        <v>930</v>
      </c>
      <c r="D35" s="31">
        <f>'Raw Fs'!J86+'Raw Fs'!J84</f>
        <v>1023</v>
      </c>
      <c r="E35" s="31">
        <f>'Raw Fs'!K86+'Raw Fs'!K84</f>
        <v>1173</v>
      </c>
      <c r="F35" s="31">
        <f>'Raw Fs'!L86+'Raw Fs'!L84</f>
        <v>1261</v>
      </c>
      <c r="G35" s="31">
        <f>'Raw Fs'!M86+'Raw Fs'!M84</f>
        <v>1635</v>
      </c>
    </row>
    <row r="36" spans="1:7" x14ac:dyDescent="0.25">
      <c r="B36" s="28"/>
      <c r="C36" s="28"/>
      <c r="D36" s="28"/>
      <c r="E36" s="28"/>
      <c r="F36" s="28"/>
      <c r="G36" s="28"/>
    </row>
    <row r="37" spans="1:7" ht="15.75" thickBot="1" x14ac:dyDescent="0.3">
      <c r="A37" t="s">
        <v>87</v>
      </c>
      <c r="B37" s="8" t="s">
        <v>90</v>
      </c>
      <c r="C37" s="26">
        <f>C35/C34</f>
        <v>0.49258474576271188</v>
      </c>
      <c r="D37" s="26">
        <f t="shared" ref="D37:G37" si="4">D35/D34</f>
        <v>0.41891891891891891</v>
      </c>
      <c r="E37" s="26">
        <f t="shared" si="4"/>
        <v>0.4067267683772538</v>
      </c>
      <c r="F37" s="26">
        <f t="shared" si="4"/>
        <v>0.39381636477201748</v>
      </c>
      <c r="G37" s="26">
        <f t="shared" si="4"/>
        <v>0.47172533179457588</v>
      </c>
    </row>
    <row r="38" spans="1:7" ht="15.75" thickTop="1" x14ac:dyDescent="0.25"/>
    <row r="40" spans="1:7" x14ac:dyDescent="0.25">
      <c r="A40" t="s">
        <v>87</v>
      </c>
      <c r="B40" s="3" t="s">
        <v>91</v>
      </c>
      <c r="C40" s="4">
        <v>43891</v>
      </c>
      <c r="D40" s="4">
        <v>44256</v>
      </c>
      <c r="E40" s="4">
        <v>44621</v>
      </c>
      <c r="F40" s="4">
        <v>44986</v>
      </c>
      <c r="G40" s="4">
        <v>45352</v>
      </c>
    </row>
    <row r="42" spans="1:7" x14ac:dyDescent="0.25">
      <c r="B42" s="20" t="s">
        <v>92</v>
      </c>
      <c r="C42" s="20">
        <f>-SUM('Raw Fs'!I55:I56)</f>
        <v>431</v>
      </c>
      <c r="D42" s="20">
        <f>-SUM('Raw Fs'!J55:J56)</f>
        <v>185</v>
      </c>
      <c r="E42" s="20">
        <f>-SUM('Raw Fs'!K55:K56)</f>
        <v>760</v>
      </c>
      <c r="F42" s="20">
        <f>-SUM('Raw Fs'!L55:L56)</f>
        <v>744</v>
      </c>
      <c r="G42" s="20">
        <f>-SUM('Raw Fs'!M55:M56)</f>
        <v>271</v>
      </c>
    </row>
    <row r="43" spans="1:7" x14ac:dyDescent="0.25">
      <c r="B43" s="20" t="s">
        <v>93</v>
      </c>
      <c r="C43" s="20"/>
      <c r="D43" s="21">
        <f>D18-C18</f>
        <v>488</v>
      </c>
      <c r="E43" s="21">
        <f t="shared" ref="E43:G43" si="5">E18-D18</f>
        <v>409</v>
      </c>
      <c r="F43" s="21">
        <f t="shared" si="5"/>
        <v>145</v>
      </c>
      <c r="G43" s="21">
        <f t="shared" si="5"/>
        <v>133</v>
      </c>
    </row>
    <row r="44" spans="1:7" x14ac:dyDescent="0.25">
      <c r="B44" s="20"/>
      <c r="C44" s="20"/>
      <c r="D44" s="20"/>
      <c r="E44" s="20"/>
      <c r="F44" s="20"/>
      <c r="G44" s="20"/>
    </row>
    <row r="45" spans="1:7" x14ac:dyDescent="0.25">
      <c r="B45" s="20" t="s">
        <v>89</v>
      </c>
      <c r="C45" s="20">
        <f>C35</f>
        <v>930</v>
      </c>
      <c r="D45" s="20">
        <f t="shared" ref="D45:G45" si="6">D35</f>
        <v>1023</v>
      </c>
      <c r="E45" s="20">
        <f t="shared" si="6"/>
        <v>1173</v>
      </c>
      <c r="F45" s="20">
        <f t="shared" si="6"/>
        <v>1261</v>
      </c>
      <c r="G45" s="20">
        <f t="shared" si="6"/>
        <v>1635</v>
      </c>
    </row>
    <row r="46" spans="1:7" x14ac:dyDescent="0.25">
      <c r="B46" s="20" t="s">
        <v>94</v>
      </c>
      <c r="C46" s="30">
        <v>0.25</v>
      </c>
      <c r="D46" s="30">
        <v>0.25</v>
      </c>
      <c r="E46" s="30">
        <v>0.25</v>
      </c>
      <c r="F46" s="30">
        <v>0.25</v>
      </c>
      <c r="G46" s="30">
        <v>0.25</v>
      </c>
    </row>
    <row r="47" spans="1:7" x14ac:dyDescent="0.25">
      <c r="B47" s="20" t="s">
        <v>95</v>
      </c>
      <c r="C47" s="20">
        <f>C45*(1-C46)</f>
        <v>697.5</v>
      </c>
      <c r="D47" s="20">
        <f t="shared" ref="D47:G47" si="7">D45*(1-D46)</f>
        <v>767.25</v>
      </c>
      <c r="E47" s="20">
        <f t="shared" si="7"/>
        <v>879.75</v>
      </c>
      <c r="F47" s="20">
        <f t="shared" si="7"/>
        <v>945.75</v>
      </c>
      <c r="G47" s="20">
        <f t="shared" si="7"/>
        <v>1226.25</v>
      </c>
    </row>
    <row r="48" spans="1:7" x14ac:dyDescent="0.25">
      <c r="B48" s="20"/>
      <c r="C48" s="20"/>
      <c r="D48" s="20"/>
      <c r="E48" s="20"/>
      <c r="F48" s="20"/>
      <c r="G48" s="20"/>
    </row>
    <row r="49" spans="1:7" x14ac:dyDescent="0.25">
      <c r="B49" t="s">
        <v>96</v>
      </c>
      <c r="D49">
        <f>SUM(D42:D43)</f>
        <v>673</v>
      </c>
      <c r="E49">
        <f t="shared" ref="E49:G49" si="8">SUM(E42:E43)</f>
        <v>1169</v>
      </c>
      <c r="F49">
        <f t="shared" si="8"/>
        <v>889</v>
      </c>
      <c r="G49">
        <f t="shared" si="8"/>
        <v>404</v>
      </c>
    </row>
    <row r="50" spans="1:7" ht="15.75" thickBot="1" x14ac:dyDescent="0.3">
      <c r="B50" s="8" t="s">
        <v>97</v>
      </c>
      <c r="C50" s="8"/>
      <c r="D50" s="26">
        <f>D49/D47</f>
        <v>0.87715868361029647</v>
      </c>
      <c r="E50" s="26">
        <f t="shared" ref="E50:G50" si="9">E49/E47</f>
        <v>1.3287865870986075</v>
      </c>
      <c r="F50" s="26">
        <f t="shared" si="9"/>
        <v>0.93999471319058947</v>
      </c>
      <c r="G50" s="26">
        <f t="shared" si="9"/>
        <v>0.32945973496432213</v>
      </c>
    </row>
    <row r="51" spans="1:7" ht="15.75" thickTop="1" x14ac:dyDescent="0.25"/>
    <row r="53" spans="1:7" x14ac:dyDescent="0.25">
      <c r="A53" t="s">
        <v>87</v>
      </c>
      <c r="B53" s="4" t="s">
        <v>98</v>
      </c>
      <c r="C53" s="4">
        <v>43891</v>
      </c>
      <c r="D53" s="4">
        <v>44256</v>
      </c>
      <c r="E53" s="4">
        <v>44621</v>
      </c>
      <c r="F53" s="4">
        <v>44986</v>
      </c>
      <c r="G53" s="4">
        <v>45352</v>
      </c>
    </row>
    <row r="55" spans="1:7" x14ac:dyDescent="0.25">
      <c r="B55" s="20" t="s">
        <v>97</v>
      </c>
      <c r="C55" s="20"/>
      <c r="D55" s="27">
        <f>D50</f>
        <v>0.87715868361029647</v>
      </c>
      <c r="E55" s="27">
        <f t="shared" ref="E55:G55" si="10">E50</f>
        <v>1.3287865870986075</v>
      </c>
      <c r="F55" s="27">
        <f t="shared" si="10"/>
        <v>0.93999471319058947</v>
      </c>
      <c r="G55" s="27">
        <f t="shared" si="10"/>
        <v>0.32945973496432213</v>
      </c>
    </row>
    <row r="56" spans="1:7" x14ac:dyDescent="0.25">
      <c r="B56" s="28" t="s">
        <v>90</v>
      </c>
      <c r="C56" s="28"/>
      <c r="D56" s="29">
        <f>D37</f>
        <v>0.41891891891891891</v>
      </c>
      <c r="E56" s="29">
        <f t="shared" ref="E56:G56" si="11">E37</f>
        <v>0.4067267683772538</v>
      </c>
      <c r="F56" s="29">
        <f t="shared" si="11"/>
        <v>0.39381636477201748</v>
      </c>
      <c r="G56" s="29">
        <f t="shared" si="11"/>
        <v>0.47172533179457588</v>
      </c>
    </row>
    <row r="57" spans="1:7" ht="15.75" thickBot="1" x14ac:dyDescent="0.3">
      <c r="B57" s="8" t="s">
        <v>99</v>
      </c>
      <c r="C57" s="8"/>
      <c r="D57" s="26">
        <f>D55*D56</f>
        <v>0.36745836745836746</v>
      </c>
      <c r="E57" s="26">
        <f t="shared" ref="E57:G57" si="12">E55*E56</f>
        <v>0.54045307443365698</v>
      </c>
      <c r="F57" s="26">
        <f t="shared" si="12"/>
        <v>0.37018530085363316</v>
      </c>
      <c r="G57" s="26">
        <f t="shared" si="12"/>
        <v>0.15541450278899788</v>
      </c>
    </row>
    <row r="58" spans="1:7" ht="15.75" thickTop="1" x14ac:dyDescent="0.25">
      <c r="F58" s="33" t="s">
        <v>100</v>
      </c>
      <c r="G58" s="34">
        <f>AVERAGE(D57:G57)</f>
        <v>0.35837781138366387</v>
      </c>
    </row>
    <row r="59" spans="1:7" x14ac:dyDescent="0.25">
      <c r="F59" s="33" t="s">
        <v>101</v>
      </c>
      <c r="G59" s="34">
        <f>MEDIAN(D57:G57)</f>
        <v>0.36882183415600034</v>
      </c>
    </row>
  </sheetData>
  <pageMargins left="0.7" right="0.7" top="0.75" bottom="0.75" header="0.3" footer="0.3"/>
  <ignoredErrors>
    <ignoredError sqref="C4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Fs</vt:lpstr>
      <vt:lpstr>Intrinsic Growth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Akhtar</dc:creator>
  <cp:lastModifiedBy>Akhtar</cp:lastModifiedBy>
  <dcterms:created xsi:type="dcterms:W3CDTF">2025-06-15T13:44:43Z</dcterms:created>
  <dcterms:modified xsi:type="dcterms:W3CDTF">2025-06-17T13:48:15Z</dcterms:modified>
</cp:coreProperties>
</file>